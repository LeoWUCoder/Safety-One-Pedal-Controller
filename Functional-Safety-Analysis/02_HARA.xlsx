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WC_Simulink_Learning\MBD\One-Pedal-Controller\1. Item definition &amp; HARA\"/>
    </mc:Choice>
  </mc:AlternateContent>
  <xr:revisionPtr revIDLastSave="0" documentId="13_ncr:1_{FF5879EF-B8E7-490C-AF6C-26A3CA3F67AD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00_文档信息" sheetId="1" r:id="rId1"/>
    <sheet name="01_Item范围" sheetId="2" r:id="rId2"/>
    <sheet name="02_功能与异常" sheetId="3" r:id="rId3"/>
    <sheet name="03_运行场景" sheetId="4" r:id="rId4"/>
    <sheet name="06_SEC准则" sheetId="5" r:id="rId5"/>
    <sheet name="04_危害事件" sheetId="6" r:id="rId6"/>
    <sheet name="05_安全目标" sheetId="7" r:id="rId7"/>
    <sheet name="07_追踪矩阵" sheetId="8" r:id="rId8"/>
    <sheet name="08_开放问题" sheetId="9" r:id="rId9"/>
    <sheet name="09_变更记录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7" l="1"/>
  <c r="E8" i="7" s="1"/>
  <c r="G8" i="7" s="1"/>
  <c r="D7" i="7"/>
  <c r="E7" i="7" s="1"/>
  <c r="G7" i="7" s="1"/>
  <c r="D6" i="7"/>
  <c r="E6" i="7" s="1"/>
  <c r="G6" i="7" s="1"/>
  <c r="D5" i="7"/>
  <c r="E5" i="7" s="1"/>
  <c r="G5" i="7" s="1"/>
  <c r="D4" i="7"/>
  <c r="E4" i="7" s="1"/>
  <c r="G4" i="7" s="1"/>
  <c r="N48" i="6"/>
  <c r="S48" i="6" s="1"/>
  <c r="S47" i="6"/>
  <c r="N47" i="6"/>
  <c r="N46" i="6"/>
  <c r="S46" i="6" s="1"/>
  <c r="N45" i="6"/>
  <c r="S45" i="6" s="1"/>
  <c r="N44" i="6"/>
  <c r="S44" i="6" s="1"/>
  <c r="N43" i="6"/>
  <c r="S43" i="6" s="1"/>
  <c r="N42" i="6"/>
  <c r="S42" i="6" s="1"/>
  <c r="N41" i="6"/>
  <c r="S41" i="6" s="1"/>
  <c r="N40" i="6"/>
  <c r="S40" i="6" s="1"/>
  <c r="S39" i="6"/>
  <c r="N39" i="6"/>
  <c r="N38" i="6"/>
  <c r="S38" i="6" s="1"/>
  <c r="N37" i="6"/>
  <c r="S37" i="6" s="1"/>
  <c r="N36" i="6"/>
  <c r="S36" i="6" s="1"/>
  <c r="N35" i="6"/>
  <c r="S35" i="6" s="1"/>
  <c r="N34" i="6"/>
  <c r="S34" i="6" s="1"/>
  <c r="N33" i="6"/>
  <c r="S33" i="6" s="1"/>
  <c r="N32" i="6"/>
  <c r="S32" i="6" s="1"/>
  <c r="S31" i="6"/>
  <c r="N31" i="6"/>
  <c r="N30" i="6"/>
  <c r="S30" i="6" s="1"/>
  <c r="N29" i="6"/>
  <c r="S29" i="6" s="1"/>
  <c r="N28" i="6"/>
  <c r="S28" i="6" s="1"/>
  <c r="N27" i="6"/>
  <c r="S27" i="6" s="1"/>
  <c r="N26" i="6"/>
  <c r="S26" i="6" s="1"/>
  <c r="N25" i="6"/>
  <c r="S25" i="6" s="1"/>
  <c r="N24" i="6"/>
  <c r="S24" i="6" s="1"/>
  <c r="S23" i="6"/>
  <c r="N23" i="6"/>
  <c r="N22" i="6"/>
  <c r="S22" i="6" s="1"/>
  <c r="N21" i="6"/>
  <c r="S21" i="6" s="1"/>
  <c r="N20" i="6"/>
  <c r="S20" i="6" s="1"/>
  <c r="N19" i="6"/>
  <c r="S19" i="6" s="1"/>
  <c r="N18" i="6"/>
  <c r="S18" i="6" s="1"/>
  <c r="N17" i="6"/>
  <c r="S17" i="6" s="1"/>
  <c r="N16" i="6"/>
  <c r="S16" i="6" s="1"/>
  <c r="S15" i="6"/>
  <c r="N15" i="6"/>
  <c r="N14" i="6"/>
  <c r="S14" i="6" s="1"/>
  <c r="N13" i="6"/>
  <c r="S13" i="6" s="1"/>
  <c r="N12" i="6"/>
  <c r="S12" i="6" s="1"/>
  <c r="N11" i="6"/>
  <c r="S11" i="6" s="1"/>
  <c r="N10" i="6"/>
  <c r="S10" i="6" s="1"/>
  <c r="N9" i="6"/>
  <c r="S9" i="6" s="1"/>
  <c r="N8" i="6"/>
  <c r="E6" i="1" s="1"/>
  <c r="S7" i="6"/>
  <c r="N7" i="6"/>
  <c r="N6" i="6"/>
  <c r="S6" i="6" s="1"/>
  <c r="N5" i="6"/>
  <c r="S5" i="6" s="1"/>
  <c r="N4" i="6"/>
  <c r="S4" i="6" s="1"/>
  <c r="E10" i="1"/>
  <c r="E5" i="1"/>
  <c r="D9" i="7" l="1"/>
  <c r="E9" i="7" s="1"/>
  <c r="G9" i="7" s="1"/>
  <c r="E8" i="1"/>
  <c r="E7" i="1"/>
  <c r="E9" i="1"/>
  <c r="S8" i="6"/>
</calcChain>
</file>

<file path=xl/sharedStrings.xml><?xml version="1.0" encoding="utf-8"?>
<sst xmlns="http://schemas.openxmlformats.org/spreadsheetml/2006/main" count="1889" uniqueCount="730">
  <si>
    <t>单踏板控制系统 HARA 主表</t>
  </si>
  <si>
    <t>状态：Draft。本工作簿作为单踏板控制系统概念阶段HARA初始基线；所有评级均需由授权功能安全团队评审批准。</t>
  </si>
  <si>
    <t>字段</t>
  </si>
  <si>
    <t>内容</t>
  </si>
  <si>
    <t>HARA 状态摘要</t>
  </si>
  <si>
    <t>文档名称</t>
  </si>
  <si>
    <t>单踏板控制系统危害分析与风险评估（HARA）</t>
  </si>
  <si>
    <t>有效危险事件</t>
  </si>
  <si>
    <t>文档标识</t>
  </si>
  <si>
    <t>OPC-HARA-001</t>
  </si>
  <si>
    <t>ASIL C</t>
  </si>
  <si>
    <t>版本</t>
  </si>
  <si>
    <t>1.0</t>
  </si>
  <si>
    <t>ASIL B</t>
  </si>
  <si>
    <t>状态</t>
  </si>
  <si>
    <t>Draft（待评审批准）</t>
  </si>
  <si>
    <t>ASIL A</t>
  </si>
  <si>
    <t>项目</t>
  </si>
  <si>
    <t>One Pedal Controller</t>
  </si>
  <si>
    <t>QM</t>
  </si>
  <si>
    <t>Item Definition</t>
  </si>
  <si>
    <t>OPC-ITEM-DEF-001（本项目受控配套工作产品）</t>
  </si>
  <si>
    <t>Open问题</t>
  </si>
  <si>
    <t>标准依据</t>
  </si>
  <si>
    <t>ISO 26262-3:2018；ASIL矩阵复核参考 SAE J2980 与 NHTSA 公开研究</t>
  </si>
  <si>
    <t>编制日期</t>
  </si>
  <si>
    <t>2026-08-06</t>
  </si>
  <si>
    <t>审批记录</t>
  </si>
  <si>
    <t>编制/所有者</t>
  </si>
  <si>
    <t>TBD</t>
  </si>
  <si>
    <t>角色</t>
  </si>
  <si>
    <t>姓名</t>
  </si>
  <si>
    <t>部门</t>
  </si>
  <si>
    <t>结论</t>
  </si>
  <si>
    <t>日期</t>
  </si>
  <si>
    <t>编制</t>
  </si>
  <si>
    <t>Draft</t>
  </si>
  <si>
    <t>使用说明</t>
  </si>
  <si>
    <t>黄色单元格为需人工维护/确认的输入；绿色单元格为公式计算；所有TBD和Open问题必须在基线发布前关闭或批准偏差。</t>
  </si>
  <si>
    <t>功能安全经理</t>
  </si>
  <si>
    <t>待评审</t>
  </si>
  <si>
    <t>工作产品关系</t>
  </si>
  <si>
    <t>Item边界由OPC-ITEM-DEF-001定义；本工作簿独立完成HARA；安全目标批准后进入FSC和需求管理工具。</t>
  </si>
  <si>
    <t>项目经理</t>
  </si>
  <si>
    <t>待批准</t>
  </si>
  <si>
    <t>限制</t>
  </si>
  <si>
    <t>本文件为通用企业级模板，未获得用户所在公司的专用模板、审批流和裁剪规则，不能单独作为合规认证声明。</t>
  </si>
  <si>
    <t>独立确认评审</t>
  </si>
  <si>
    <t>待确认</t>
  </si>
  <si>
    <t>ISO参考</t>
  </si>
  <si>
    <t>https://www.iso.org/standard/68385.html</t>
  </si>
  <si>
    <t>SAE参考</t>
  </si>
  <si>
    <t>https://saemobilus.sae.org/standards/j2980_202310-considerations-iso-26262-asil-hazard-classification</t>
  </si>
  <si>
    <t>Item 范围与关键约束</t>
  </si>
  <si>
    <t>本页给出HARA采用的Item边界、外部接口、假设与关键约束，并与OPC-ITEM-DEF-001共同构成概念阶段输入。</t>
  </si>
  <si>
    <t>ID</t>
  </si>
  <si>
    <t>类别</t>
  </si>
  <si>
    <t>名称</t>
  </si>
  <si>
    <t>定义/责任</t>
  </si>
  <si>
    <t>边界内</t>
  </si>
  <si>
    <t>安全相关</t>
  </si>
  <si>
    <t>来源</t>
  </si>
  <si>
    <t>ITM-001</t>
  </si>
  <si>
    <t>Item</t>
  </si>
  <si>
    <t>单踏板控制系统</t>
  </si>
  <si>
    <t>是</t>
  </si>
  <si>
    <t>Item Definition §2</t>
  </si>
  <si>
    <t>EXT-001</t>
  </si>
  <si>
    <t>外部系统</t>
  </si>
  <si>
    <t>液压制动系统</t>
  </si>
  <si>
    <t>独立执行驾驶员机械制动；Item仅接收制动踏板状态</t>
  </si>
  <si>
    <t>否</t>
  </si>
  <si>
    <t>§3.3 / ASM-001</t>
  </si>
  <si>
    <t>EXT-002</t>
  </si>
  <si>
    <t>电机ECU</t>
  </si>
  <si>
    <t>执行有效扭矩请求并拒绝无效/越界请求</t>
  </si>
  <si>
    <t>§3.3 / ASM-002</t>
  </si>
  <si>
    <t>EXT-003</t>
  </si>
  <si>
    <t>车速来源ECU</t>
  </si>
  <si>
    <t>提供有符号车速及有效性</t>
  </si>
  <si>
    <t>§3.3 / ASM-003</t>
  </si>
  <si>
    <t>EXT-004</t>
  </si>
  <si>
    <t>挡位选择器</t>
  </si>
  <si>
    <t>提供P/R/N/D/B请求及有效性</t>
  </si>
  <si>
    <t>§3.3 / ASM-004</t>
  </si>
  <si>
    <t>EXT-005</t>
  </si>
  <si>
    <t>三路踏板传感器</t>
  </si>
  <si>
    <t>提供三路归一化踏板位置及电气诊断</t>
  </si>
  <si>
    <t>§3.3 / ASM-005</t>
  </si>
  <si>
    <t>EXT-006</t>
  </si>
  <si>
    <t>CAN通信服务</t>
  </si>
  <si>
    <t>提供信号新鲜度、超时和通信诊断</t>
  </si>
  <si>
    <t>§3.3 / ASM-006</t>
  </si>
  <si>
    <t>EXT-007</t>
  </si>
  <si>
    <t>HMI/仪表</t>
  </si>
  <si>
    <t>显示实际挡位、运行状态及故障告警</t>
  </si>
  <si>
    <t>§3.3 / ASM-007</t>
  </si>
  <si>
    <t>ENV-001</t>
  </si>
  <si>
    <t>验证环境</t>
  </si>
  <si>
    <t>Vehicle Plant/Driver/Harness</t>
  </si>
  <si>
    <t>仅用于MIL验证，不属于量产Item或安全机制</t>
  </si>
  <si>
    <t>§3.4 / §12</t>
  </si>
  <si>
    <t>Confirmed</t>
  </si>
  <si>
    <t>CON-001</t>
  </si>
  <si>
    <t>约束</t>
  </si>
  <si>
    <t>控制周期</t>
  </si>
  <si>
    <t>10 ms</t>
  </si>
  <si>
    <t>§4.1</t>
  </si>
  <si>
    <t>CON-002</t>
  </si>
  <si>
    <t>电机侧扭矩范围</t>
  </si>
  <si>
    <t>−80 Nm～+80 Nm；R挡最小−40 Nm；B挡再生最小−80 Nm</t>
  </si>
  <si>
    <t>CON-003</t>
  </si>
  <si>
    <t>危险方向换挡阈值</t>
  </si>
  <si>
    <t>制动踏板踩下且 |v| &lt; 5 km/h</t>
  </si>
  <si>
    <t>§4.8</t>
  </si>
  <si>
    <t>CON-004</t>
  </si>
  <si>
    <t>停车保持范围</t>
  </si>
  <si>
    <t>|v|≤0.2 km/h；道路坡度绝对值≤10%</t>
  </si>
  <si>
    <t>§4.7 / §7.3</t>
  </si>
  <si>
    <t>CON-005</t>
  </si>
  <si>
    <t>制动优先</t>
  </si>
  <si>
    <t>有效制动踏板被踩下时不得输出驱动扭矩</t>
  </si>
  <si>
    <t>§9</t>
  </si>
  <si>
    <t>Item 功能与功能异常</t>
  </si>
  <si>
    <t>功能异常采用Guideword、接口分析和时序分析识别丢失、过多、过少、非预期、错误方向及过早/过晚等异常。</t>
  </si>
  <si>
    <t>功能ID</t>
  </si>
  <si>
    <t>Item功能</t>
  </si>
  <si>
    <t>输入/触发</t>
  </si>
  <si>
    <t>正常输出/行为</t>
  </si>
  <si>
    <t>FUN-001</t>
  </si>
  <si>
    <t>踏板输入获取与可信度判断</t>
  </si>
  <si>
    <t>三路踏板位置及有效性</t>
  </si>
  <si>
    <t>输出可信踏板位置和故障状态</t>
  </si>
  <si>
    <t>Item §3.2</t>
  </si>
  <si>
    <t>FUN-002</t>
  </si>
  <si>
    <t>挡位管理与换挡约束</t>
  </si>
  <si>
    <t>请求挡位、制动状态、车速</t>
  </si>
  <si>
    <t>输出实际挡位或拒绝状态</t>
  </si>
  <si>
    <t>Item §4.8</t>
  </si>
  <si>
    <t>FUN-003</t>
  </si>
  <si>
    <t>D挡驱动扭矩计算</t>
  </si>
  <si>
    <t>可信踏板、D挡</t>
  </si>
  <si>
    <t>0～+80 Nm驱动扭矩</t>
  </si>
  <si>
    <t>Item §4.6</t>
  </si>
  <si>
    <t>FUN-004</t>
  </si>
  <si>
    <t>R挡倒车扭矩计算</t>
  </si>
  <si>
    <t>可信踏板、R挡</t>
  </si>
  <si>
    <t>0～−40 Nm倒车扭矩</t>
  </si>
  <si>
    <t>Item §4.4</t>
  </si>
  <si>
    <t>FUN-005</t>
  </si>
  <si>
    <t>B挡驱动/再生扭矩计算</t>
  </si>
  <si>
    <t>可信踏板、B挡、车速</t>
  </si>
  <si>
    <t>−80～+80 Nm扭矩</t>
  </si>
  <si>
    <t>Item §4.7</t>
  </si>
  <si>
    <t>FUN-006</t>
  </si>
  <si>
    <t>零速停车保持</t>
  </si>
  <si>
    <t>B挡、接近零速、坡度</t>
  </si>
  <si>
    <t>受控保持0 km/h，不越过零速</t>
  </si>
  <si>
    <t>FUN-007</t>
  </si>
  <si>
    <t>制动踏板优先处理</t>
  </si>
  <si>
    <t>有效制动踏板状态</t>
  </si>
  <si>
    <t>取消驱动扭矩请求</t>
  </si>
  <si>
    <t>Item §4.1</t>
  </si>
  <si>
    <t>FUN-008</t>
  </si>
  <si>
    <t>最终扭矩仲裁与限幅</t>
  </si>
  <si>
    <t>模式扭矩、可用扭矩、故障状态</t>
  </si>
  <si>
    <t>方向/幅值/变化率受限扭矩</t>
  </si>
  <si>
    <t>FUN-009</t>
  </si>
  <si>
    <t>故障与运行状态管理</t>
  </si>
  <si>
    <t>输入诊断、内部诊断、复位</t>
  </si>
  <si>
    <t>Normal/Degraded/Safe/Recovery</t>
  </si>
  <si>
    <t>Item §5</t>
  </si>
  <si>
    <t>FUN-010</t>
  </si>
  <si>
    <t>状态与告警输出</t>
  </si>
  <si>
    <t>实际挡位、故障、运行状态</t>
  </si>
  <si>
    <t>诊断与HMI告警请求</t>
  </si>
  <si>
    <t>Item §6.2</t>
  </si>
  <si>
    <t>功能异常清单</t>
  </si>
  <si>
    <t>异常ID</t>
  </si>
  <si>
    <t>识别方法</t>
  </si>
  <si>
    <t>关联功能</t>
  </si>
  <si>
    <t>Guideword</t>
  </si>
  <si>
    <t>功能异常描述</t>
  </si>
  <si>
    <t>潜在危害</t>
  </si>
  <si>
    <t>检测/外部措施假设</t>
  </si>
  <si>
    <t>是否进入HARA</t>
  </si>
  <si>
    <t>备注</t>
  </si>
  <si>
    <t>MF-001</t>
  </si>
  <si>
    <t>FUN-003/FUN-005/FUN-008</t>
  </si>
  <si>
    <t>过大/非预期</t>
  </si>
  <si>
    <t>产生过大的正向驱动扭矩或无请求时产生正扭矩</t>
  </si>
  <si>
    <t>H1 非预期加速</t>
  </si>
  <si>
    <t>独立制动、踏板诊断、扭矩限幅</t>
  </si>
  <si>
    <t>方向需在危险事件中明确</t>
  </si>
  <si>
    <t>MF-002</t>
  </si>
  <si>
    <t>FUN-005/FUN-008</t>
  </si>
  <si>
    <t>产生过大的负向再生扭矩或无请求时产生负扭矩</t>
  </si>
  <si>
    <t>H2 非预期减速</t>
  </si>
  <si>
    <t>独立制动不能消除非预期再生，需快速切断</t>
  </si>
  <si>
    <t>正负扭矩方向分别分析</t>
  </si>
  <si>
    <t>MF-003</t>
  </si>
  <si>
    <t>FUN-003/FUN-008</t>
  </si>
  <si>
    <t>过小/丢失</t>
  </si>
  <si>
    <t>正向驱动扭矩低于驾驶员合理请求</t>
  </si>
  <si>
    <t>H3 加速不足</t>
  </si>
  <si>
    <t>驾驶员可减速并退出交通流</t>
  </si>
  <si>
    <t>需定义最小性能边界</t>
  </si>
  <si>
    <t>MF-004</t>
  </si>
  <si>
    <t>再生制动扭矩低于合理请求</t>
  </si>
  <si>
    <t>H4 减速不足</t>
  </si>
  <si>
    <t>驾驶员可使用独立液压制动</t>
  </si>
  <si>
    <t>外部措施需DFA确认</t>
  </si>
  <si>
    <t>MF-005</t>
  </si>
  <si>
    <t>偏高</t>
  </si>
  <si>
    <t>可信踏板位置被计算得过高</t>
  </si>
  <si>
    <t>三路表决、范围/一致性诊断</t>
  </si>
  <si>
    <t>MF-006</t>
  </si>
  <si>
    <t>偏低</t>
  </si>
  <si>
    <t>可信踏板位置被计算得过低</t>
  </si>
  <si>
    <t>H3 加速不足/H4减速不足</t>
  </si>
  <si>
    <t>B挡踏板偏低可增加制动</t>
  </si>
  <si>
    <t>MF-007</t>
  </si>
  <si>
    <t>接口分析</t>
  </si>
  <si>
    <t>FUN-002/FUN-005/FUN-006</t>
  </si>
  <si>
    <t>错误/丢失</t>
  </si>
  <si>
    <t>未检测车速无效、方向错误或零速判断错误</t>
  </si>
  <si>
    <t>H5 错误方向运动/H1/H2</t>
  </si>
  <si>
    <t>车速有效性与方向合理性诊断</t>
  </si>
  <si>
    <t>MF-008</t>
  </si>
  <si>
    <t>时序分析</t>
  </si>
  <si>
    <t>错误时序</t>
  </si>
  <si>
    <t>在不满足车速/制动条件时接受危险方向挡位</t>
  </si>
  <si>
    <t>H5 错误方向运动</t>
  </si>
  <si>
    <t>换挡互锁</t>
  </si>
  <si>
    <t>MF-009</t>
  </si>
  <si>
    <t>丢失</t>
  </si>
  <si>
    <t>制动踏板踩下时未取消驱动扭矩</t>
  </si>
  <si>
    <t>制动信号有效性和独立液压制动</t>
  </si>
  <si>
    <t>MF-010</t>
  </si>
  <si>
    <t>过晚</t>
  </si>
  <si>
    <t>故障检测或安全反应超过FTTI</t>
  </si>
  <si>
    <t>H1/H2/H5</t>
  </si>
  <si>
    <t>任务监控、故障管理</t>
  </si>
  <si>
    <t>需FTTI预算</t>
  </si>
  <si>
    <t>MF-011</t>
  </si>
  <si>
    <t>非预期/丢失</t>
  </si>
  <si>
    <t>停车保持不足或产生反向运动</t>
  </si>
  <si>
    <t>独立制动/驻车系统</t>
  </si>
  <si>
    <t>需坡道场景</t>
  </si>
  <si>
    <t>MF-012</t>
  </si>
  <si>
    <t>非预期</t>
  </si>
  <si>
    <t>初始化、复位或恢复期间产生非零扭矩</t>
  </si>
  <si>
    <t>初始化零扭矩和输出无效状态</t>
  </si>
  <si>
    <t>需启动/恢复场景</t>
  </si>
  <si>
    <t>车辆运行场景</t>
  </si>
  <si>
    <t>HARA基线覆盖高速、拥堵、倒车、静止起步及湿滑路面等设计运行场景；扩展场景作为完整性评审输入，在批准后纳入基线。</t>
  </si>
  <si>
    <t>场景ID</t>
  </si>
  <si>
    <t>道路/地点</t>
  </si>
  <si>
    <t>车速状态</t>
  </si>
  <si>
    <t>运动方向</t>
  </si>
  <si>
    <t>交通/人员</t>
  </si>
  <si>
    <t>路面</t>
  </si>
  <si>
    <t>坡度</t>
  </si>
  <si>
    <t>驾驶动作</t>
  </si>
  <si>
    <t>挡位</t>
  </si>
  <si>
    <t>适用性</t>
  </si>
  <si>
    <t>E建议</t>
  </si>
  <si>
    <t>评审说明</t>
  </si>
  <si>
    <t>OS1</t>
  </si>
  <si>
    <t>高速公路</t>
  </si>
  <si>
    <t>高速</t>
  </si>
  <si>
    <t>前进</t>
  </si>
  <si>
    <t>一般交通</t>
  </si>
  <si>
    <t>干燥</t>
  </si>
  <si>
    <t>平路</t>
  </si>
  <si>
    <t>巡航/超车</t>
  </si>
  <si>
    <t>D/B</t>
  </si>
  <si>
    <t>适用</t>
  </si>
  <si>
    <t>E1</t>
  </si>
  <si>
    <t>基线场景</t>
  </si>
  <si>
    <t>OS2</t>
  </si>
  <si>
    <t>低速</t>
  </si>
  <si>
    <t>拥堵</t>
  </si>
  <si>
    <t>跟车</t>
  </si>
  <si>
    <t>OS3</t>
  </si>
  <si>
    <t>倒车</t>
  </si>
  <si>
    <t>R</t>
  </si>
  <si>
    <t>排除</t>
  </si>
  <si>
    <t>E0</t>
  </si>
  <si>
    <t>不合理组合</t>
  </si>
  <si>
    <t>OS4</t>
  </si>
  <si>
    <t>静止</t>
  </si>
  <si>
    <t>停车</t>
  </si>
  <si>
    <t>P/N/D/B</t>
  </si>
  <si>
    <t>由低速拥堵及静止起步场景覆盖</t>
  </si>
  <si>
    <t>OS5</t>
  </si>
  <si>
    <t>拥堵道路</t>
  </si>
  <si>
    <t>密集交通/行人</t>
  </si>
  <si>
    <t>行驶</t>
  </si>
  <si>
    <t>速度与场景定义矛盾</t>
  </si>
  <si>
    <t>OS6</t>
  </si>
  <si>
    <t>跟车/起停</t>
  </si>
  <si>
    <t>E3</t>
  </si>
  <si>
    <t>OS7</t>
  </si>
  <si>
    <t>车辆/行人</t>
  </si>
  <si>
    <t>E2</t>
  </si>
  <si>
    <t>OS8</t>
  </si>
  <si>
    <t>起步/停车</t>
  </si>
  <si>
    <t>OS9</t>
  </si>
  <si>
    <t>道路</t>
  </si>
  <si>
    <t>湿滑</t>
  </si>
  <si>
    <t>OS10</t>
  </si>
  <si>
    <t>OS11</t>
  </si>
  <si>
    <t>OS12</t>
  </si>
  <si>
    <t>OS13</t>
  </si>
  <si>
    <t>城市普通道路</t>
  </si>
  <si>
    <t>中速</t>
  </si>
  <si>
    <t>一般交通/行人</t>
  </si>
  <si>
    <t>行驶/路口</t>
  </si>
  <si>
    <t>待评估</t>
  </si>
  <si>
    <t>完整性扩展场景</t>
  </si>
  <si>
    <t>OS14</t>
  </si>
  <si>
    <t>坡道</t>
  </si>
  <si>
    <t>静止/低速</t>
  </si>
  <si>
    <t>前进或后退</t>
  </si>
  <si>
    <t>上/下坡≤10%</t>
  </si>
  <si>
    <t>起步/停车保持</t>
  </si>
  <si>
    <t>B</t>
  </si>
  <si>
    <t>OS15</t>
  </si>
  <si>
    <t>任意道路</t>
  </si>
  <si>
    <t>任意</t>
  </si>
  <si>
    <t>初始化/复位/恢复</t>
  </si>
  <si>
    <t>生命周期扩展场景</t>
  </si>
  <si>
    <t>OS16</t>
  </si>
  <si>
    <t>接近零速</t>
  </si>
  <si>
    <t>换向风险</t>
  </si>
  <si>
    <t>危险方向换挡</t>
  </si>
  <si>
    <t>P/R/N/D/B</t>
  </si>
  <si>
    <t>换挡互锁扩展场景</t>
  </si>
  <si>
    <t>S/E/C 评级准则与 ASIL 查表</t>
  </si>
  <si>
    <t>S/E/C由功能安全评审团队结合客观数据和专家判断确认。查表值依据公开的ISO 26262概念阶段复核资料；公司正式基线应采用受控标准副本。</t>
  </si>
  <si>
    <t>严重度</t>
  </si>
  <si>
    <t>定义</t>
  </si>
  <si>
    <t>项目应用提示</t>
  </si>
  <si>
    <t>说明</t>
  </si>
  <si>
    <t>S</t>
  </si>
  <si>
    <t>E</t>
  </si>
  <si>
    <t>C</t>
  </si>
  <si>
    <t>ASIL</t>
  </si>
  <si>
    <t>S0</t>
  </si>
  <si>
    <t>无伤害</t>
  </si>
  <si>
    <t>不形成安全相关危险事件</t>
  </si>
  <si>
    <t>S1E1C1</t>
  </si>
  <si>
    <t>S1</t>
  </si>
  <si>
    <t>C1</t>
  </si>
  <si>
    <t>轻度和中度伤害</t>
  </si>
  <si>
    <t>低速轻微碰撞等</t>
  </si>
  <si>
    <t>S1E1C2</t>
  </si>
  <si>
    <t>C2</t>
  </si>
  <si>
    <t>S2</t>
  </si>
  <si>
    <t>严重且危及生命，存活概率较高</t>
  </si>
  <si>
    <t>中等碰撞或存在严重伤害</t>
  </si>
  <si>
    <t>S1E1C3</t>
  </si>
  <si>
    <t>C3</t>
  </si>
  <si>
    <t>S3</t>
  </si>
  <si>
    <t>危及生命且存活不确定，或致命伤害</t>
  </si>
  <si>
    <t>高速碰撞、行人严重伤害等</t>
  </si>
  <si>
    <t>S1E2C1</t>
  </si>
  <si>
    <t>S1E2C2</t>
  </si>
  <si>
    <t>S1E2C3</t>
  </si>
  <si>
    <t>暴露度</t>
  </si>
  <si>
    <t>S1E3C1</t>
  </si>
  <si>
    <t>极不可能</t>
  </si>
  <si>
    <t>排除或不可合理预见的场景</t>
  </si>
  <si>
    <t>S1E3C2</t>
  </si>
  <si>
    <t>很低概率</t>
  </si>
  <si>
    <t>罕见运行场景</t>
  </si>
  <si>
    <t>S1E3C3</t>
  </si>
  <si>
    <t>A</t>
  </si>
  <si>
    <t>低概率</t>
  </si>
  <si>
    <t>偶发场景</t>
  </si>
  <si>
    <t>S1E4C1</t>
  </si>
  <si>
    <t>E4</t>
  </si>
  <si>
    <t>中等概率</t>
  </si>
  <si>
    <t>经常遇到的场景</t>
  </si>
  <si>
    <t>S1E4C2</t>
  </si>
  <si>
    <t>高概率</t>
  </si>
  <si>
    <t>车辆运行中高度频繁</t>
  </si>
  <si>
    <t>S1E4C3</t>
  </si>
  <si>
    <t>S2E1C1</t>
  </si>
  <si>
    <t>S2E1C2</t>
  </si>
  <si>
    <t>可控度</t>
  </si>
  <si>
    <t>S2E1C3</t>
  </si>
  <si>
    <t>C0</t>
  </si>
  <si>
    <t>通常可控</t>
  </si>
  <si>
    <t>S2E2C1</t>
  </si>
  <si>
    <t>容易控制</t>
  </si>
  <si>
    <t>绝大多数驾驶员可及时避免伤害</t>
  </si>
  <si>
    <t>S2E2C2</t>
  </si>
  <si>
    <t>多数驾驶员可控制，但需要及时反应</t>
  </si>
  <si>
    <t>S2E2C3</t>
  </si>
  <si>
    <t>难以控制或不可控</t>
  </si>
  <si>
    <t>驾驶员反应时间/措施不足</t>
  </si>
  <si>
    <t>S2E3C1</t>
  </si>
  <si>
    <t>S2E3C2</t>
  </si>
  <si>
    <t>S2E3C3</t>
  </si>
  <si>
    <t>S2E4C1</t>
  </si>
  <si>
    <t>S2E4C2</t>
  </si>
  <si>
    <t>S2E4C3</t>
  </si>
  <si>
    <t>S3E1C1</t>
  </si>
  <si>
    <t>S3E1C2</t>
  </si>
  <si>
    <t>S3E1C3</t>
  </si>
  <si>
    <t>S3E2C1</t>
  </si>
  <si>
    <t>S3E2C2</t>
  </si>
  <si>
    <t>S3E2C3</t>
  </si>
  <si>
    <t>S3E3C1</t>
  </si>
  <si>
    <t>S3E3C2</t>
  </si>
  <si>
    <t>S3E3C3</t>
  </si>
  <si>
    <t>S3E4C1</t>
  </si>
  <si>
    <t>S3E4C2</t>
  </si>
  <si>
    <t>S3E4C3</t>
  </si>
  <si>
    <t>D</t>
  </si>
  <si>
    <t>规则说明</t>
  </si>
  <si>
    <t>S0/E0/C0</t>
  </si>
  <si>
    <t>若任一参数为0，通常归为QM；需保留理由和评审记录。</t>
  </si>
  <si>
    <t>危险级ASIL</t>
  </si>
  <si>
    <t>同一危害跨运行场景时，采用经批准的最高ASIL作为相关安全目标ASIL。</t>
  </si>
  <si>
    <t>ISO 26262-3:2018；NHTSA公开报告表A-5；SAE J2980_202310。</t>
  </si>
  <si>
    <t>每一行代表“功能异常 + 车辆级危害 + 运行场景”。黄色列为人工判断；ASIL由受控查表公式计算。当前基线覆盖9个适用运行场景。</t>
  </si>
  <si>
    <t>危险事件ID</t>
  </si>
  <si>
    <t>功能异常ID</t>
  </si>
  <si>
    <t>危害ID</t>
  </si>
  <si>
    <t>运行场景ID</t>
  </si>
  <si>
    <t>危险事件描述</t>
  </si>
  <si>
    <t>S判断理由</t>
  </si>
  <si>
    <t>E判断理由</t>
  </si>
  <si>
    <t>C判断理由</t>
  </si>
  <si>
    <t>计算ASIL</t>
  </si>
  <si>
    <t>安全目标ID</t>
  </si>
  <si>
    <t>安全状态</t>
  </si>
  <si>
    <t>FTTI(ms)</t>
  </si>
  <si>
    <t>依据/证据</t>
  </si>
  <si>
    <t>ASIL分值</t>
  </si>
  <si>
    <t>评审结论</t>
  </si>
  <si>
    <t>评审人</t>
  </si>
  <si>
    <t>HE-001</t>
  </si>
  <si>
    <t>MF-001/MF-005/MF-009/MF-012</t>
  </si>
  <si>
    <t>H1</t>
  </si>
  <si>
    <t>车辆非预期加速，发生于OS1运行场景</t>
  </si>
  <si>
    <t>高速公路发生车辆非预期加速可能导致高速碰撞、行人碰撞或致命伤害。</t>
  </si>
  <si>
    <t>依据本项目运行场景定义及概念阶段专家判断，OS1暴露度暂定为很低概率；需由目标市场、车队或场景统计数据复核。</t>
  </si>
  <si>
    <t>多数驾驶员可通过制动、转向或调整踏板控制后果，但需要及时反应。</t>
  </si>
  <si>
    <t>SG-001</t>
  </si>
  <si>
    <t>扭矩请求置0；请求无效；驾驶员声光告警</t>
  </si>
  <si>
    <t>OPC-ITEM-DEF-001；运行场景分析；概念阶段专家判断待评审</t>
  </si>
  <si>
    <t>待FuSa评审</t>
  </si>
  <si>
    <t>HE-002</t>
  </si>
  <si>
    <t>车辆非预期加速，发生于OS2运行场景</t>
  </si>
  <si>
    <t>依据本项目运行场景定义及概念阶段专家判断，OS2暴露度暂定为很低概率；需由目标市场、车队或场景统计数据复核。</t>
  </si>
  <si>
    <t>HE-003</t>
  </si>
  <si>
    <t>车辆非预期加速，发生于OS6运行场景</t>
  </si>
  <si>
    <t>拥堵道路发生车辆非预期加速可能导致高速碰撞、行人碰撞或致命伤害。</t>
  </si>
  <si>
    <t>依据本项目运行场景定义及概念阶段专家判断，OS6暴露度暂定为中等概率；需由目标市场、车队或场景统计数据复核。</t>
  </si>
  <si>
    <t>车辆非预期加速发生后驾驶员可用反应时间或外部措施有限，难以控制或不可控。</t>
  </si>
  <si>
    <t>HE-004</t>
  </si>
  <si>
    <t>车辆非预期加速，发生于OS7运行场景</t>
  </si>
  <si>
    <t>拥堵道路发生车辆非预期加速可能导致严重碰撞或严重伤害，但存活概率较高。</t>
  </si>
  <si>
    <t>依据本项目运行场景定义及概念阶段专家判断，OS7暴露度暂定为低概率；需由目标市场、车队或场景统计数据复核。</t>
  </si>
  <si>
    <t>HE-005</t>
  </si>
  <si>
    <t>车辆非预期加速，发生于OS8运行场景</t>
  </si>
  <si>
    <t>依据本项目运行场景定义及概念阶段专家判断，OS8暴露度暂定为低概率；需由目标市场、车队或场景统计数据复核。</t>
  </si>
  <si>
    <t>HE-006</t>
  </si>
  <si>
    <t>车辆非预期加速，发生于OS9运行场景</t>
  </si>
  <si>
    <t>湿滑道路发生车辆非预期加速可能导致高速碰撞、行人碰撞或致命伤害。</t>
  </si>
  <si>
    <t>依据本项目运行场景定义及概念阶段专家判断，OS9暴露度暂定为很低概率；需由目标市场、车队或场景统计数据复核。</t>
  </si>
  <si>
    <t>HE-007</t>
  </si>
  <si>
    <t>车辆非预期加速，发生于OS10运行场景</t>
  </si>
  <si>
    <t>依据本项目运行场景定义及概念阶段专家判断，OS10暴露度暂定为低概率；需由目标市场、车队或场景统计数据复核。</t>
  </si>
  <si>
    <t>HE-008</t>
  </si>
  <si>
    <t>车辆非预期加速，发生于OS11运行场景</t>
  </si>
  <si>
    <t>湿滑道路发生车辆非预期加速可能导致严重碰撞或严重伤害，但存活概率较高。</t>
  </si>
  <si>
    <t>依据本项目运行场景定义及概念阶段专家判断，OS11暴露度暂定为低概率；需由目标市场、车队或场景统计数据复核。</t>
  </si>
  <si>
    <t>HE-009</t>
  </si>
  <si>
    <t>车辆非预期加速，发生于OS12运行场景</t>
  </si>
  <si>
    <t>依据本项目运行场景定义及概念阶段专家判断，OS12暴露度暂定为低概率；需由目标市场、车队或场景统计数据复核。</t>
  </si>
  <si>
    <t>HE-010</t>
  </si>
  <si>
    <t>MF-002/MF-006/MF-012</t>
  </si>
  <si>
    <t>H2</t>
  </si>
  <si>
    <t>车辆非预期减速，发生于OS1运行场景</t>
  </si>
  <si>
    <t>高速公路发生车辆非预期减速可能导致严重碰撞或严重伤害，但存活概率较高。</t>
  </si>
  <si>
    <t>依据本项目运行场景定义及概念阶段专家判断，OS1暴露度暂定为中等概率；需由目标市场、车队或场景统计数据复核。</t>
  </si>
  <si>
    <t>SG-002</t>
  </si>
  <si>
    <t>HE-011</t>
  </si>
  <si>
    <t>车辆非预期减速，发生于OS2运行场景</t>
  </si>
  <si>
    <t>依据本项目运行场景定义及概念阶段专家判断，OS2暴露度暂定为低概率；需由目标市场、车队或场景统计数据复核。</t>
  </si>
  <si>
    <t>HE-012</t>
  </si>
  <si>
    <t>车辆非预期减速，发生于OS6运行场景</t>
  </si>
  <si>
    <t>拥堵道路发生车辆非预期减速可能导致严重碰撞或严重伤害，但存活概率较高。</t>
  </si>
  <si>
    <t>驾驶员可通过独立制动或停止操作较容易地控制该情况。</t>
  </si>
  <si>
    <t>HE-013</t>
  </si>
  <si>
    <t>车辆非预期减速，发生于OS7运行场景</t>
  </si>
  <si>
    <t>拥堵道路低速/静止相关事件预期主要造成轻度至中度伤害。</t>
  </si>
  <si>
    <t>依据本项目运行场景定义及概念阶段专家判断，OS7暴露度暂定为中等概率；需由目标市场、车队或场景统计数据复核。</t>
  </si>
  <si>
    <t>HE-014</t>
  </si>
  <si>
    <t>车辆非预期减速，发生于OS8运行场景</t>
  </si>
  <si>
    <t>该车辆状态下未识别可合理发生的伤害，待确认是否排除。</t>
  </si>
  <si>
    <t>该场景与危害组合不适用或不可合理预见。</t>
  </si>
  <si>
    <t>通常可控/不适用，需由评审确认。</t>
  </si>
  <si>
    <t>该危害—场景组合暂按QM，排除理由需评审批准</t>
  </si>
  <si>
    <t>HE-015</t>
  </si>
  <si>
    <t>车辆非预期减速，发生于OS9运行场景</t>
  </si>
  <si>
    <t>湿滑道路发生车辆非预期减速可能导致高速碰撞、行人碰撞或致命伤害。</t>
  </si>
  <si>
    <t>车辆非预期减速发生后驾驶员可用反应时间或外部措施有限，难以控制或不可控。</t>
  </si>
  <si>
    <t>HE-016</t>
  </si>
  <si>
    <t>车辆非预期减速，发生于OS10运行场景</t>
  </si>
  <si>
    <t>湿滑道路发生车辆非预期减速可能导致严重碰撞或严重伤害，但存活概率较高。</t>
  </si>
  <si>
    <t>HE-017</t>
  </si>
  <si>
    <t>车辆非预期减速，发生于OS11运行场景</t>
  </si>
  <si>
    <t>湿滑道路低速/静止相关事件预期主要造成轻度至中度伤害。</t>
  </si>
  <si>
    <t>HE-018</t>
  </si>
  <si>
    <t>车辆非预期减速，发生于OS12运行场景</t>
  </si>
  <si>
    <t>HE-019</t>
  </si>
  <si>
    <t>MF-003/MF-006</t>
  </si>
  <si>
    <t>H3</t>
  </si>
  <si>
    <t>车辆加速不足，发生于OS1运行场景</t>
  </si>
  <si>
    <t>高速公路发生车辆加速不足可能导致高速碰撞、行人碰撞或致命伤害。</t>
  </si>
  <si>
    <t>依据本项目运行场景定义及概念阶段专家判断，OS1暴露度暂定为低概率；需由目标市场、车队或场景统计数据复核。</t>
  </si>
  <si>
    <t>SG-003</t>
  </si>
  <si>
    <t>告警并允许驾驶员采取替代操作；具体降级策略由FSC确定</t>
  </si>
  <si>
    <t>HE-020</t>
  </si>
  <si>
    <t>车辆加速不足，发生于OS2运行场景</t>
  </si>
  <si>
    <t>高速公路发生车辆加速不足可能导致严重碰撞或严重伤害，但存活概率较高。</t>
  </si>
  <si>
    <t>HE-021</t>
  </si>
  <si>
    <t>车辆加速不足，发生于OS6运行场景</t>
  </si>
  <si>
    <t>拥堵道路发生车辆加速不足可能导致严重碰撞或严重伤害，但存活概率较高。</t>
  </si>
  <si>
    <t>HE-022</t>
  </si>
  <si>
    <t>车辆加速不足，发生于OS7运行场景</t>
  </si>
  <si>
    <t>HE-023</t>
  </si>
  <si>
    <t>车辆加速不足，发生于OS8运行场景</t>
  </si>
  <si>
    <t>HE-024</t>
  </si>
  <si>
    <t>车辆加速不足，发生于OS9运行场景</t>
  </si>
  <si>
    <t>湿滑道路发生车辆加速不足可能导致严重碰撞或严重伤害，但存活概率较高。</t>
  </si>
  <si>
    <t>HE-025</t>
  </si>
  <si>
    <t>车辆加速不足，发生于OS10运行场景</t>
  </si>
  <si>
    <t>HE-026</t>
  </si>
  <si>
    <t>车辆加速不足，发生于OS11运行场景</t>
  </si>
  <si>
    <t>HE-027</t>
  </si>
  <si>
    <t>车辆加速不足，发生于OS12运行场景</t>
  </si>
  <si>
    <t>依据本项目运行场景定义及概念阶段专家判断，OS12暴露度暂定为很低概率；需由目标市场、车队或场景统计数据复核。</t>
  </si>
  <si>
    <t>HE-028</t>
  </si>
  <si>
    <t>MF-004/MF-006</t>
  </si>
  <si>
    <t>H4</t>
  </si>
  <si>
    <t>车辆减速不足，发生于OS1运行场景</t>
  </si>
  <si>
    <t>高速公路发生车辆减速不足可能导致高速碰撞、行人碰撞或致命伤害。</t>
  </si>
  <si>
    <t>SG-004</t>
  </si>
  <si>
    <t>告警并提示使用独立液压制动；具体安全状态由FSC确认</t>
  </si>
  <si>
    <t>HE-029</t>
  </si>
  <si>
    <t>车辆减速不足，发生于OS2运行场景</t>
  </si>
  <si>
    <t>HE-030</t>
  </si>
  <si>
    <t>车辆减速不足，发生于OS6运行场景</t>
  </si>
  <si>
    <t>拥堵道路发生车辆减速不足可能导致高速碰撞、行人碰撞或致命伤害。</t>
  </si>
  <si>
    <t>HE-031</t>
  </si>
  <si>
    <t>车辆减速不足，发生于OS7运行场景</t>
  </si>
  <si>
    <t>拥堵道路发生车辆减速不足可能导致严重碰撞或严重伤害，但存活概率较高。</t>
  </si>
  <si>
    <t>HE-032</t>
  </si>
  <si>
    <t>车辆减速不足，发生于OS8运行场景</t>
  </si>
  <si>
    <t>HE-033</t>
  </si>
  <si>
    <t>车辆减速不足，发生于OS9运行场景</t>
  </si>
  <si>
    <t>湿滑道路发生车辆减速不足可能导致高速碰撞、行人碰撞或致命伤害。</t>
  </si>
  <si>
    <t>依据本项目运行场景定义及概念阶段专家判断，OS9暴露度暂定为低概率；需由目标市场、车队或场景统计数据复核。</t>
  </si>
  <si>
    <t>HE-034</t>
  </si>
  <si>
    <t>车辆减速不足，发生于OS10运行场景</t>
  </si>
  <si>
    <t>湿滑道路发生车辆减速不足可能导致严重碰撞或严重伤害，但存活概率较高。</t>
  </si>
  <si>
    <t>依据本项目运行场景定义及概念阶段专家判断，OS10暴露度暂定为中等概率；需由目标市场、车队或场景统计数据复核。</t>
  </si>
  <si>
    <t>HE-035</t>
  </si>
  <si>
    <t>车辆减速不足，发生于OS11运行场景</t>
  </si>
  <si>
    <t>HE-036</t>
  </si>
  <si>
    <t>车辆减速不足，发生于OS12运行场景</t>
  </si>
  <si>
    <t>HE-037</t>
  </si>
  <si>
    <t>MF-007/MF-008/MF-011/MF-012</t>
  </si>
  <si>
    <t>H5</t>
  </si>
  <si>
    <t>车辆向错误方向运动，发生于OS1运行场景</t>
  </si>
  <si>
    <t>高速公路发生车辆向错误方向运动可能导致高速碰撞、行人碰撞或致命伤害。</t>
  </si>
  <si>
    <t>车辆向错误方向运动发生后驾驶员可用反应时间或外部措施有限，难以控制或不可控。</t>
  </si>
  <si>
    <t>SG-005</t>
  </si>
  <si>
    <t>禁止危险方向扭矩；限制/置0扭矩；驾驶员告警</t>
  </si>
  <si>
    <t>HE-038</t>
  </si>
  <si>
    <t>车辆向错误方向运动，发生于OS2运行场景</t>
  </si>
  <si>
    <t>HE-039</t>
  </si>
  <si>
    <t>车辆向错误方向运动，发生于OS6运行场景</t>
  </si>
  <si>
    <t>拥堵道路发生车辆向错误方向运动可能导致严重碰撞或严重伤害，但存活概率较高。</t>
  </si>
  <si>
    <t>HE-040</t>
  </si>
  <si>
    <t>车辆向错误方向运动，发生于OS7运行场景</t>
  </si>
  <si>
    <t>HE-041</t>
  </si>
  <si>
    <t>车辆向错误方向运动，发生于OS8运行场景</t>
  </si>
  <si>
    <t>依据本项目运行场景定义及概念阶段专家判断，OS8暴露度暂定为中等概率；需由目标市场、车队或场景统计数据复核。</t>
  </si>
  <si>
    <t>HE-042</t>
  </si>
  <si>
    <t>车辆向错误方向运动，发生于OS9运行场景</t>
  </si>
  <si>
    <t>湿滑道路发生车辆向错误方向运动可能导致高速碰撞、行人碰撞或致命伤害。</t>
  </si>
  <si>
    <t>HE-043</t>
  </si>
  <si>
    <t>车辆向错误方向运动，发生于OS10运行场景</t>
  </si>
  <si>
    <t>HE-044</t>
  </si>
  <si>
    <t>车辆向错误方向运动，发生于OS11运行场景</t>
  </si>
  <si>
    <t>湿滑道路发生车辆向错误方向运动可能导致严重碰撞或严重伤害，但存活概率较高。</t>
  </si>
  <si>
    <t>HE-045</t>
  </si>
  <si>
    <t>车辆向错误方向运动，发生于OS12运行场景</t>
  </si>
  <si>
    <t>安全目标与HARA结论</t>
  </si>
  <si>
    <t>SG-001～SG-005由车辆级危害及危险事件直接导出；SG-006作为跨安全目标的检测与反应约束，后续在FSC中分解为FSR。</t>
  </si>
  <si>
    <t>安全目标</t>
  </si>
  <si>
    <t>关联危害</t>
  </si>
  <si>
    <t>计算最高ASIL分值</t>
  </si>
  <si>
    <t>评审基线ASIL</t>
  </si>
  <si>
    <t>内部一致性</t>
  </si>
  <si>
    <t>运行场景范围</t>
  </si>
  <si>
    <t>验证方法建议</t>
  </si>
  <si>
    <t>防止车辆非预期加速</t>
  </si>
  <si>
    <t>扭矩请求置0并撤销有效性；声光告警</t>
  </si>
  <si>
    <t>所有适用运行场景</t>
  </si>
  <si>
    <t>故障注入、FTTI、扭矩监控</t>
  </si>
  <si>
    <t>防止车辆非预期减速</t>
  </si>
  <si>
    <t>防止车辆加速不足</t>
  </si>
  <si>
    <t>告警；降级/安全状态由FSC定义</t>
  </si>
  <si>
    <t>高速合流、超车和交通流场景</t>
  </si>
  <si>
    <t>故障注入、性能与告警验证</t>
  </si>
  <si>
    <t>安全状态需评审</t>
  </si>
  <si>
    <t>防止车辆减速不足</t>
  </si>
  <si>
    <t>告警并提示使用独立液压制动；FSC确认</t>
  </si>
  <si>
    <t>单踏板制动适用场景</t>
  </si>
  <si>
    <t>故障注入、驾驶员告警、外部措施验证</t>
  </si>
  <si>
    <t>防止车辆向错误方向运动</t>
  </si>
  <si>
    <t>禁止危险方向扭矩；限制或置0扭矩；告警</t>
  </si>
  <si>
    <t>换挡、倒车、零速和坡道场景</t>
  </si>
  <si>
    <t>方向互锁、故障注入、FTTI</t>
  </si>
  <si>
    <t>SG-006</t>
  </si>
  <si>
    <t>在相关FTTI内检测故障并完成规定的安全反应</t>
  </si>
  <si>
    <t>H1-H5</t>
  </si>
  <si>
    <t>由SG-001～SG-005分别定义安全反应</t>
  </si>
  <si>
    <t>FTTI预算、故障注入、反应时间测试</t>
  </si>
  <si>
    <t>跨安全目标约束；在FSC中分解</t>
  </si>
  <si>
    <t>HARA 双向追踪矩阵</t>
  </si>
  <si>
    <t>从Item功能与功能异常追踪至危害、危险事件、安全目标和后续FSC输入。</t>
  </si>
  <si>
    <t>追踪ID</t>
  </si>
  <si>
    <t>危险事件范围</t>
  </si>
  <si>
    <t>安全状态/措施</t>
  </si>
  <si>
    <t>后续工作产品</t>
  </si>
  <si>
    <t>TR-001</t>
  </si>
  <si>
    <t>HE-001～HE-009</t>
  </si>
  <si>
    <t>零扭矩/无效请求/告警</t>
  </si>
  <si>
    <t>FSC/FSR/FTA/测试</t>
  </si>
  <si>
    <t>TR-002</t>
  </si>
  <si>
    <t>HE-010～HE-018</t>
  </si>
  <si>
    <t>FSC/FSR/测试</t>
  </si>
  <si>
    <t>TR-003</t>
  </si>
  <si>
    <t>HE-019～HE-027</t>
  </si>
  <si>
    <t>告警/降级策略待FSC</t>
  </si>
  <si>
    <t>TR-004</t>
  </si>
  <si>
    <t>HE-028～HE-036</t>
  </si>
  <si>
    <t>告警/外部制动/策略待FSC</t>
  </si>
  <si>
    <t>FSC/FSR/DFA/测试</t>
  </si>
  <si>
    <t>TR-005</t>
  </si>
  <si>
    <t>HE-037～HE-045</t>
  </si>
  <si>
    <t>禁止危险方向扭矩/限扭/告警</t>
  </si>
  <si>
    <t>TR-006</t>
  </si>
  <si>
    <t>FUN-009/FUN-010</t>
  </si>
  <si>
    <t>全部相关危险事件</t>
  </si>
  <si>
    <t>在相关FTTI内检测并完成安全反应</t>
  </si>
  <si>
    <t>FTTI预算/FSR/测试</t>
  </si>
  <si>
    <t>开放问题与评审行动项</t>
  </si>
  <si>
    <t>所有Open问题必须在HARA基线批准前关闭，或形成经批准的偏差/假设。</t>
  </si>
  <si>
    <t>问题ID</t>
  </si>
  <si>
    <t>问题描述</t>
  </si>
  <si>
    <t>影响对象</t>
  </si>
  <si>
    <t>建议措施</t>
  </si>
  <si>
    <t>责任人</t>
  </si>
  <si>
    <t>目标日期</t>
  </si>
  <si>
    <t>关闭证据</t>
  </si>
  <si>
    <t>OI-001</t>
  </si>
  <si>
    <t>安全目标分解</t>
  </si>
  <si>
    <t>SG-006是跨安全目标的检测与反应约束，需要在FSC中分解至SG-001～SG-005对应FSR。</t>
  </si>
  <si>
    <t>建立检测、确认和安全反应时间预算，并双向链接各FSR。</t>
  </si>
  <si>
    <t>Open</t>
  </si>
  <si>
    <t>OI-002</t>
  </si>
  <si>
    <t>场景完整性</t>
  </si>
  <si>
    <t>HARA基线覆盖9个设计运行场景；城市普通道路、坡道、初始化/恢复和危险换挡已登记但尚未进入基线评估。</t>
  </si>
  <si>
    <t>OS13～OS16</t>
  </si>
  <si>
    <t>确认扩展场景适用性，批准后补充危险事件及S/E/C评估。</t>
  </si>
  <si>
    <t>OI-003</t>
  </si>
  <si>
    <t>证据</t>
  </si>
  <si>
    <t>绝大多数E和C评级仅有专家判断，缺少车队、事故或驾驶员研究数据。</t>
  </si>
  <si>
    <t>全部HE</t>
  </si>
  <si>
    <t>收集客观数据并组织跨职能专家评审。</t>
  </si>
  <si>
    <t>OI-004</t>
  </si>
  <si>
    <t>外部措施</t>
  </si>
  <si>
    <t>液压制动与Item的独立性尚未通过DFA确认。</t>
  </si>
  <si>
    <t>SG-003/SG-004</t>
  </si>
  <si>
    <t>执行DFA并建立外部措施需求。</t>
  </si>
  <si>
    <t>OI-005</t>
  </si>
  <si>
    <t>FTTI</t>
  </si>
  <si>
    <t>100/200/500 ms缺少车辆动力学和伤害演化依据。</t>
  </si>
  <si>
    <t>SG-001～SG-005</t>
  </si>
  <si>
    <t>建立FTTI分析和检测/反应时间预算。</t>
  </si>
  <si>
    <t>OI-006</t>
  </si>
  <si>
    <t>SG-003和SG-004目前主要采用告警，是否足以降低风险尚未确认。</t>
  </si>
  <si>
    <t>在FSC中定义可验证的降级或安全状态。</t>
  </si>
  <si>
    <t>OI-007</t>
  </si>
  <si>
    <t>危险识别复核</t>
  </si>
  <si>
    <t>MF-001～MF-012已纳入危害映射，仍需使用HAZOP/STPA/FMEA执行独立完整性复核。</t>
  </si>
  <si>
    <t>全部MF/HE</t>
  </si>
  <si>
    <t>组织跨职能评审并记录未识别新危害的客观证据。</t>
  </si>
  <si>
    <t>OI-008</t>
  </si>
  <si>
    <t>参数边界</t>
  </si>
  <si>
    <t>−80/+80 Nm、5 km/h、0.2 km/h、10%坡度等需确认车辆级依据。</t>
  </si>
  <si>
    <t>Item约束</t>
  </si>
  <si>
    <t>记录标定来源和车辆级批准。</t>
  </si>
  <si>
    <t>HARA 变更记录</t>
  </si>
  <si>
    <t>每次受控修改应记录变更原因、影响对象、评审结论和关联变更请求。</t>
  </si>
  <si>
    <t>变更请求ID</t>
  </si>
  <si>
    <t>变更内容</t>
  </si>
  <si>
    <t>影响分析</t>
  </si>
  <si>
    <t>编制人</t>
  </si>
  <si>
    <t>评审/批准</t>
  </si>
  <si>
    <t>N/A</t>
  </si>
  <si>
    <t>建立单踏板控制系统HARA初始基线，包含Item范围、功能异常、运行场景、危险事件、ASIL、安全目标和追踪关系。</t>
  </si>
  <si>
    <t>全部工作表</t>
  </si>
  <si>
    <t>首次建立项目HARA工作产品；待授权功能安全团队评审批准。</t>
  </si>
  <si>
    <t>Nan</t>
    <phoneticPr fontId="8" type="noConversion"/>
  </si>
  <si>
    <t>Yi</t>
    <phoneticPr fontId="8" type="noConversion"/>
  </si>
  <si>
    <t>根据踏板、制动、挡位、车速及有效性计算电机侧扭矩请求并管理运行状态</t>
    <phoneticPr fontId="8" type="noConversion"/>
  </si>
  <si>
    <r>
      <rPr>
        <b/>
        <sz val="16"/>
        <color rgb="FFFFFFFF"/>
        <rFont val="微软雅黑"/>
        <family val="2"/>
        <charset val="134"/>
      </rPr>
      <t>危险事件与</t>
    </r>
    <r>
      <rPr>
        <b/>
        <sz val="16"/>
        <color rgb="FFFFFFFF"/>
        <rFont val="Arial"/>
        <family val="2"/>
      </rPr>
      <t>S/E/C</t>
    </r>
    <r>
      <rPr>
        <b/>
        <sz val="16"/>
        <color rgb="FFFFFFFF"/>
        <rFont val="微软雅黑"/>
        <family val="2"/>
        <charset val="134"/>
      </rPr>
      <t>评估</t>
    </r>
    <phoneticPr fontId="8" type="noConversion"/>
  </si>
  <si>
    <t>编制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</si>
</sst>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b/>
      <sz val="16"/>
      <color rgb="FFFFFFFF"/>
      <name val="Carlito"/>
    </font>
    <font>
      <i/>
      <sz val="10"/>
      <color rgb="FF334155"/>
      <name val="Carlito"/>
    </font>
    <font>
      <b/>
      <sz val="10"/>
      <color rgb="FFFFFFFF"/>
      <name val="Carlito"/>
    </font>
    <font>
      <sz val="9"/>
      <color rgb="FF1F2937"/>
      <name val="Carlito"/>
    </font>
    <font>
      <b/>
      <sz val="12"/>
      <color rgb="FF1F2937"/>
      <name val="Carlito"/>
    </font>
    <font>
      <b/>
      <sz val="9"/>
      <color rgb="FF111827"/>
      <name val="Carlito"/>
    </font>
    <font>
      <sz val="11"/>
      <name val="Carlito"/>
    </font>
    <font>
      <sz val="9"/>
      <name val="宋体"/>
      <family val="3"/>
      <charset val="134"/>
    </font>
    <font>
      <sz val="9"/>
      <color rgb="FF1F2937"/>
      <name val="微软雅黑"/>
      <family val="2"/>
      <charset val="134"/>
    </font>
    <font>
      <b/>
      <sz val="16"/>
      <color rgb="FFFFFFFF"/>
      <name val="微软雅黑"/>
      <family val="2"/>
      <charset val="134"/>
    </font>
    <font>
      <b/>
      <sz val="16"/>
      <color rgb="FFFFFFFF"/>
      <name val="Arial"/>
      <family val="2"/>
    </font>
    <font>
      <b/>
      <sz val="16"/>
      <color rgb="FFFFFFFF"/>
      <name val="Carlito"/>
      <family val="2"/>
      <charset val="134"/>
    </font>
    <font>
      <b/>
      <sz val="10"/>
      <color rgb="FFFFFFFF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4CCC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3" fillId="4" borderId="1" xfId="1" applyFont="1" applyFill="1" applyBorder="1" applyAlignment="1">
      <alignment horizontal="center" vertical="center" wrapText="1"/>
    </xf>
    <xf numFmtId="0" fontId="4" fillId="0" borderId="2" xfId="1" applyFont="1" applyBorder="1" applyAlignment="1">
      <alignment vertical="top" wrapText="1"/>
    </xf>
    <xf numFmtId="0" fontId="4" fillId="5" borderId="2" xfId="1" applyFont="1" applyFill="1" applyBorder="1" applyAlignment="1">
      <alignment vertical="top" wrapText="1"/>
    </xf>
    <xf numFmtId="0" fontId="4" fillId="6" borderId="2" xfId="1" applyFont="1" applyFill="1" applyBorder="1" applyAlignment="1">
      <alignment vertical="top" wrapText="1"/>
    </xf>
    <xf numFmtId="0" fontId="5" fillId="6" borderId="2" xfId="1" applyFont="1" applyFill="1" applyBorder="1" applyAlignment="1">
      <alignment horizontal="center" vertical="top" wrapText="1"/>
    </xf>
    <xf numFmtId="0" fontId="4" fillId="7" borderId="2" xfId="1" applyFont="1" applyFill="1" applyBorder="1" applyAlignment="1">
      <alignment vertical="top" wrapText="1"/>
    </xf>
    <xf numFmtId="0" fontId="6" fillId="8" borderId="2" xfId="1" applyFont="1" applyFill="1" applyBorder="1" applyAlignment="1">
      <alignment horizontal="center" vertical="top" wrapText="1"/>
    </xf>
    <xf numFmtId="0" fontId="6" fillId="9" borderId="2" xfId="1" applyFont="1" applyFill="1" applyBorder="1" applyAlignment="1">
      <alignment horizontal="center" vertical="top" wrapText="1"/>
    </xf>
    <xf numFmtId="0" fontId="6" fillId="7" borderId="2" xfId="1" applyFont="1" applyFill="1" applyBorder="1" applyAlignment="1">
      <alignment horizontal="center" vertical="top" wrapText="1"/>
    </xf>
    <xf numFmtId="0" fontId="6" fillId="10" borderId="2" xfId="1" applyFont="1" applyFill="1" applyBorder="1" applyAlignment="1">
      <alignment horizontal="center" vertical="top" wrapText="1"/>
    </xf>
    <xf numFmtId="0" fontId="6" fillId="11" borderId="2" xfId="1" applyFont="1" applyFill="1" applyBorder="1" applyAlignment="1">
      <alignment horizontal="center" vertical="top" wrapText="1"/>
    </xf>
    <xf numFmtId="1" fontId="4" fillId="7" borderId="2" xfId="1" applyNumberFormat="1" applyFont="1" applyFill="1" applyBorder="1" applyAlignment="1">
      <alignment vertical="top" wrapText="1"/>
    </xf>
    <xf numFmtId="1" fontId="4" fillId="6" borderId="2" xfId="1" applyNumberFormat="1" applyFont="1" applyFill="1" applyBorder="1" applyAlignment="1">
      <alignment vertical="top"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4" fillId="0" borderId="2" xfId="1" applyFont="1" applyBorder="1" applyAlignment="1">
      <alignment vertical="top" wrapText="1"/>
    </xf>
    <xf numFmtId="0" fontId="9" fillId="0" borderId="2" xfId="1" applyFont="1" applyBorder="1" applyAlignment="1">
      <alignment vertical="top" wrapText="1"/>
    </xf>
    <xf numFmtId="0" fontId="12" fillId="2" borderId="0" xfId="1" applyFont="1" applyFill="1" applyAlignment="1">
      <alignment horizontal="left" vertical="center"/>
    </xf>
    <xf numFmtId="0" fontId="13" fillId="4" borderId="1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ItemScope" displayName="TblItemScope" ref="A3:H17" totalsRowShown="0">
  <tableColumns count="8">
    <tableColumn id="1" xr3:uid="{00000000-0010-0000-0000-000001000000}" name="ID"/>
    <tableColumn id="2" xr3:uid="{00000000-0010-0000-0000-000002000000}" name="类别"/>
    <tableColumn id="3" xr3:uid="{00000000-0010-0000-0000-000003000000}" name="名称"/>
    <tableColumn id="4" xr3:uid="{00000000-0010-0000-0000-000004000000}" name="定义/责任"/>
    <tableColumn id="5" xr3:uid="{00000000-0010-0000-0000-000005000000}" name="边界内"/>
    <tableColumn id="6" xr3:uid="{00000000-0010-0000-0000-000006000000}" name="安全相关"/>
    <tableColumn id="7" xr3:uid="{00000000-0010-0000-0000-000007000000}" name="来源"/>
    <tableColumn id="8" xr3:uid="{00000000-0010-0000-0000-000008000000}" name="状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Functions" displayName="TblFunctions" ref="A3:E13" totalsRowShown="0">
  <tableColumns count="5">
    <tableColumn id="1" xr3:uid="{00000000-0010-0000-0100-000001000000}" name="功能ID"/>
    <tableColumn id="2" xr3:uid="{00000000-0010-0000-0100-000002000000}" name="Item功能"/>
    <tableColumn id="3" xr3:uid="{00000000-0010-0000-0100-000003000000}" name="输入/触发"/>
    <tableColumn id="4" xr3:uid="{00000000-0010-0000-0100-000004000000}" name="正常输出/行为"/>
    <tableColumn id="5" xr3:uid="{00000000-0010-0000-0100-000005000000}" name="来源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Malfunctions" displayName="TblMalfunctions" ref="A17:J29" totalsRowShown="0">
  <tableColumns count="10">
    <tableColumn id="1" xr3:uid="{00000000-0010-0000-0200-000001000000}" name="异常ID"/>
    <tableColumn id="2" xr3:uid="{00000000-0010-0000-0200-000002000000}" name="识别方法"/>
    <tableColumn id="3" xr3:uid="{00000000-0010-0000-0200-000003000000}" name="关联功能"/>
    <tableColumn id="4" xr3:uid="{00000000-0010-0000-0200-000004000000}" name="Guideword"/>
    <tableColumn id="5" xr3:uid="{00000000-0010-0000-0200-000005000000}" name="功能异常描述"/>
    <tableColumn id="6" xr3:uid="{00000000-0010-0000-0200-000006000000}" name="潜在危害"/>
    <tableColumn id="7" xr3:uid="{00000000-0010-0000-0200-000007000000}" name="检测/外部措施假设"/>
    <tableColumn id="8" xr3:uid="{00000000-0010-0000-0200-000008000000}" name="是否进入HARA"/>
    <tableColumn id="9" xr3:uid="{00000000-0010-0000-0200-000009000000}" name="状态"/>
    <tableColumn id="10" xr3:uid="{00000000-0010-0000-0200-00000A000000}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Scenarios" displayName="TblScenarios" ref="A3:L19" totalsRowShown="0">
  <tableColumns count="12">
    <tableColumn id="1" xr3:uid="{00000000-0010-0000-0300-000001000000}" name="场景ID"/>
    <tableColumn id="2" xr3:uid="{00000000-0010-0000-0300-000002000000}" name="道路/地点"/>
    <tableColumn id="3" xr3:uid="{00000000-0010-0000-0300-000003000000}" name="车速状态"/>
    <tableColumn id="4" xr3:uid="{00000000-0010-0000-0300-000004000000}" name="运动方向"/>
    <tableColumn id="5" xr3:uid="{00000000-0010-0000-0300-000005000000}" name="交通/人员"/>
    <tableColumn id="6" xr3:uid="{00000000-0010-0000-0300-000006000000}" name="路面"/>
    <tableColumn id="7" xr3:uid="{00000000-0010-0000-0300-000007000000}" name="坡度"/>
    <tableColumn id="8" xr3:uid="{00000000-0010-0000-0300-000008000000}" name="驾驶动作"/>
    <tableColumn id="9" xr3:uid="{00000000-0010-0000-0300-000009000000}" name="挡位"/>
    <tableColumn id="10" xr3:uid="{00000000-0010-0000-0300-00000A000000}" name="适用性"/>
    <tableColumn id="11" xr3:uid="{00000000-0010-0000-0300-00000B000000}" name="E建议"/>
    <tableColumn id="12" xr3:uid="{00000000-0010-0000-0300-00000C000000}" name="评审说明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AsilLookup" displayName="TblAsilLookup" ref="E3:I39" totalsRowShown="0">
  <tableColumns count="5">
    <tableColumn id="1" xr3:uid="{00000000-0010-0000-0400-000001000000}" name="说明"/>
    <tableColumn id="2" xr3:uid="{00000000-0010-0000-0400-000002000000}" name="S"/>
    <tableColumn id="3" xr3:uid="{00000000-0010-0000-0400-000003000000}" name="E"/>
    <tableColumn id="4" xr3:uid="{00000000-0010-0000-0400-000004000000}" name="C"/>
    <tableColumn id="5" xr3:uid="{00000000-0010-0000-0400-000005000000}" name="ASI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HazardousEvents" displayName="TblHazardousEvents" ref="A3:V48" totalsRowShown="0">
  <tableColumns count="22">
    <tableColumn id="1" xr3:uid="{00000000-0010-0000-0500-000001000000}" name="危险事件ID"/>
    <tableColumn id="2" xr3:uid="{00000000-0010-0000-0500-000002000000}" name="状态"/>
    <tableColumn id="3" xr3:uid="{00000000-0010-0000-0500-000003000000}" name="功能ID"/>
    <tableColumn id="4" xr3:uid="{00000000-0010-0000-0500-000004000000}" name="功能异常ID"/>
    <tableColumn id="5" xr3:uid="{00000000-0010-0000-0500-000005000000}" name="危害ID"/>
    <tableColumn id="6" xr3:uid="{00000000-0010-0000-0500-000006000000}" name="运行场景ID"/>
    <tableColumn id="7" xr3:uid="{00000000-0010-0000-0500-000007000000}" name="危险事件描述"/>
    <tableColumn id="8" xr3:uid="{00000000-0010-0000-0500-000008000000}" name="S"/>
    <tableColumn id="9" xr3:uid="{00000000-0010-0000-0500-000009000000}" name="S判断理由"/>
    <tableColumn id="10" xr3:uid="{00000000-0010-0000-0500-00000A000000}" name="E"/>
    <tableColumn id="11" xr3:uid="{00000000-0010-0000-0500-00000B000000}" name="E判断理由"/>
    <tableColumn id="12" xr3:uid="{00000000-0010-0000-0500-00000C000000}" name="C"/>
    <tableColumn id="13" xr3:uid="{00000000-0010-0000-0500-00000D000000}" name="C判断理由"/>
    <tableColumn id="14" xr3:uid="{00000000-0010-0000-0500-00000E000000}" name="计算ASIL"/>
    <tableColumn id="15" xr3:uid="{00000000-0010-0000-0500-00000F000000}" name="安全目标ID"/>
    <tableColumn id="16" xr3:uid="{00000000-0010-0000-0500-000010000000}" name="安全状态"/>
    <tableColumn id="17" xr3:uid="{00000000-0010-0000-0500-000011000000}" name="FTTI(ms)"/>
    <tableColumn id="18" xr3:uid="{00000000-0010-0000-0500-000012000000}" name="依据/证据"/>
    <tableColumn id="19" xr3:uid="{00000000-0010-0000-0500-000013000000}" name="ASIL分值"/>
    <tableColumn id="20" xr3:uid="{00000000-0010-0000-0500-000014000000}" name="评审结论"/>
    <tableColumn id="21" xr3:uid="{00000000-0010-0000-0500-000015000000}" name="评审人"/>
    <tableColumn id="22" xr3:uid="{00000000-0010-0000-0500-000016000000}" name="备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SafetyGoals" displayName="TblSafetyGoals" ref="A3:N9" totalsRowShown="0">
  <tableColumns count="14">
    <tableColumn id="1" xr3:uid="{00000000-0010-0000-0600-000001000000}" name="安全目标ID"/>
    <tableColumn id="2" xr3:uid="{00000000-0010-0000-0600-000002000000}" name="安全目标"/>
    <tableColumn id="3" xr3:uid="{00000000-0010-0000-0600-000003000000}" name="关联危害"/>
    <tableColumn id="4" xr3:uid="{00000000-0010-0000-0600-000004000000}" name="计算最高ASIL分值"/>
    <tableColumn id="5" xr3:uid="{00000000-0010-0000-0600-000005000000}" name="计算ASIL"/>
    <tableColumn id="6" xr3:uid="{00000000-0010-0000-0600-000006000000}" name="评审基线ASIL"/>
    <tableColumn id="7" xr3:uid="{00000000-0010-0000-0600-000007000000}" name="内部一致性"/>
    <tableColumn id="8" xr3:uid="{00000000-0010-0000-0600-000008000000}" name="安全状态"/>
    <tableColumn id="9" xr3:uid="{00000000-0010-0000-0600-000009000000}" name="FTTI(ms)"/>
    <tableColumn id="10" xr3:uid="{00000000-0010-0000-0600-00000A000000}" name="运行场景范围"/>
    <tableColumn id="11" xr3:uid="{00000000-0010-0000-0600-00000B000000}" name="验证方法建议"/>
    <tableColumn id="12" xr3:uid="{00000000-0010-0000-0600-00000C000000}" name="状态"/>
    <tableColumn id="13" xr3:uid="{00000000-0010-0000-0600-00000D000000}" name="编制"/>
    <tableColumn id="14" xr3:uid="{00000000-0010-0000-0600-00000E000000}" name="备注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Traceability" displayName="TblTraceability" ref="A3:J9" totalsRowShown="0">
  <tableColumns count="10">
    <tableColumn id="1" xr3:uid="{00000000-0010-0000-0700-000001000000}" name="追踪ID"/>
    <tableColumn id="2" xr3:uid="{00000000-0010-0000-0700-000002000000}" name="功能ID"/>
    <tableColumn id="3" xr3:uid="{00000000-0010-0000-0700-000003000000}" name="功能异常ID"/>
    <tableColumn id="4" xr3:uid="{00000000-0010-0000-0700-000004000000}" name="危害ID"/>
    <tableColumn id="5" xr3:uid="{00000000-0010-0000-0700-000005000000}" name="危险事件范围"/>
    <tableColumn id="6" xr3:uid="{00000000-0010-0000-0700-000006000000}" name="安全目标ID"/>
    <tableColumn id="7" xr3:uid="{00000000-0010-0000-0700-000007000000}" name="ASIL"/>
    <tableColumn id="8" xr3:uid="{00000000-0010-0000-0700-000008000000}" name="安全状态/措施"/>
    <tableColumn id="9" xr3:uid="{00000000-0010-0000-0700-000009000000}" name="后续工作产品"/>
    <tableColumn id="10" xr3:uid="{00000000-0010-0000-0700-00000A000000}" name="状态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OpenIssues" displayName="TblOpenIssues" ref="A3:J11" totalsRowShown="0">
  <tableColumns count="10">
    <tableColumn id="1" xr3:uid="{00000000-0010-0000-0800-000001000000}" name="问题ID"/>
    <tableColumn id="2" xr3:uid="{00000000-0010-0000-0800-000002000000}" name="类别"/>
    <tableColumn id="3" xr3:uid="{00000000-0010-0000-0800-000003000000}" name="问题描述"/>
    <tableColumn id="4" xr3:uid="{00000000-0010-0000-0800-000004000000}" name="影响对象"/>
    <tableColumn id="5" xr3:uid="{00000000-0010-0000-0800-000005000000}" name="建议措施"/>
    <tableColumn id="6" xr3:uid="{00000000-0010-0000-0800-000006000000}" name="责任人"/>
    <tableColumn id="7" xr3:uid="{00000000-0010-0000-0800-000007000000}" name="状态"/>
    <tableColumn id="8" xr3:uid="{00000000-0010-0000-0800-000008000000}" name="目标日期"/>
    <tableColumn id="9" xr3:uid="{00000000-0010-0000-0800-000009000000}" name="关闭证据"/>
    <tableColumn id="10" xr3:uid="{00000000-0010-0000-0800-00000A000000}" name="备注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Changes" displayName="TblChanges" ref="A3:I4" totalsRowShown="0">
  <tableColumns count="9">
    <tableColumn id="1" xr3:uid="{00000000-0010-0000-0900-000001000000}" name="版本"/>
    <tableColumn id="2" xr3:uid="{00000000-0010-0000-0900-000002000000}" name="日期"/>
    <tableColumn id="3" xr3:uid="{00000000-0010-0000-0900-000003000000}" name="变更请求ID"/>
    <tableColumn id="4" xr3:uid="{00000000-0010-0000-0900-000004000000}" name="变更内容"/>
    <tableColumn id="5" xr3:uid="{00000000-0010-0000-0900-000005000000}" name="影响对象"/>
    <tableColumn id="6" xr3:uid="{00000000-0010-0000-0900-000006000000}" name="影响分析"/>
    <tableColumn id="7" xr3:uid="{00000000-0010-0000-0900-000007000000}" name="编制人"/>
    <tableColumn id="8" xr3:uid="{00000000-0010-0000-0900-000008000000}" name="评审/批准"/>
    <tableColumn id="9" xr3:uid="{00000000-0010-0000-0900-000009000000}" name="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topLeftCell="A7" workbookViewId="0">
      <selection activeCell="F19" sqref="F19"/>
    </sheetView>
  </sheetViews>
  <sheetFormatPr defaultRowHeight="14.25"/>
  <cols>
    <col min="1" max="1" width="22" customWidth="1"/>
    <col min="2" max="2" width="58" customWidth="1"/>
    <col min="3" max="3" width="3" customWidth="1"/>
    <col min="4" max="8" width="18" customWidth="1"/>
  </cols>
  <sheetData>
    <row r="1" spans="1:8" ht="30" customHeight="1">
      <c r="A1" s="14" t="s">
        <v>0</v>
      </c>
      <c r="B1" s="14"/>
      <c r="C1" s="14"/>
      <c r="D1" s="14"/>
      <c r="E1" s="14"/>
      <c r="F1" s="14"/>
      <c r="G1" s="14"/>
      <c r="H1" s="14"/>
    </row>
    <row r="2" spans="1:8" ht="32.1" customHeight="1">
      <c r="A2" s="15" t="s">
        <v>1</v>
      </c>
      <c r="B2" s="15"/>
      <c r="C2" s="15"/>
      <c r="D2" s="15"/>
      <c r="E2" s="15"/>
      <c r="F2" s="15"/>
      <c r="G2" s="15"/>
      <c r="H2" s="15"/>
    </row>
    <row r="4" spans="1:8" ht="32.1" customHeight="1">
      <c r="A4" s="1" t="s">
        <v>2</v>
      </c>
      <c r="B4" s="1" t="s">
        <v>3</v>
      </c>
      <c r="D4" s="16" t="s">
        <v>4</v>
      </c>
      <c r="E4" s="16"/>
      <c r="F4" s="16"/>
      <c r="G4" s="16"/>
      <c r="H4" s="16"/>
    </row>
    <row r="5" spans="1:8" ht="26.1" customHeight="1">
      <c r="A5" s="3" t="s">
        <v>5</v>
      </c>
      <c r="B5" s="2" t="s">
        <v>6</v>
      </c>
      <c r="D5" s="3" t="s">
        <v>7</v>
      </c>
      <c r="E5" s="5">
        <f>COUNTA('04_危害事件'!$A$4:$A$48)</f>
        <v>45</v>
      </c>
    </row>
    <row r="6" spans="1:8" ht="26.1" customHeight="1">
      <c r="A6" s="3" t="s">
        <v>8</v>
      </c>
      <c r="B6" s="2" t="s">
        <v>9</v>
      </c>
      <c r="D6" s="3" t="s">
        <v>10</v>
      </c>
      <c r="E6" s="5">
        <f>COUNTIF('04_危害事件'!$N$4:$N$48,"C")</f>
        <v>1</v>
      </c>
    </row>
    <row r="7" spans="1:8" ht="26.1" customHeight="1">
      <c r="A7" s="3" t="s">
        <v>11</v>
      </c>
      <c r="B7" s="2" t="s">
        <v>12</v>
      </c>
      <c r="D7" s="3" t="s">
        <v>13</v>
      </c>
      <c r="E7" s="5">
        <f>COUNTIF('04_危害事件'!$N$4:$N$48,"B")</f>
        <v>5</v>
      </c>
    </row>
    <row r="8" spans="1:8" ht="26.1" customHeight="1">
      <c r="A8" s="3" t="s">
        <v>14</v>
      </c>
      <c r="B8" s="2" t="s">
        <v>15</v>
      </c>
      <c r="D8" s="3" t="s">
        <v>16</v>
      </c>
      <c r="E8" s="5">
        <f>COUNTIF('04_危害事件'!$N$4:$N$48,"A")</f>
        <v>13</v>
      </c>
    </row>
    <row r="9" spans="1:8" ht="26.1" customHeight="1">
      <c r="A9" s="3" t="s">
        <v>17</v>
      </c>
      <c r="B9" s="2" t="s">
        <v>18</v>
      </c>
      <c r="D9" s="3" t="s">
        <v>19</v>
      </c>
      <c r="E9" s="5">
        <f>COUNTIF('04_危害事件'!$N$4:$N$48,"QM")</f>
        <v>26</v>
      </c>
    </row>
    <row r="10" spans="1:8" ht="26.1" customHeight="1">
      <c r="A10" s="3" t="s">
        <v>20</v>
      </c>
      <c r="B10" s="2" t="s">
        <v>21</v>
      </c>
      <c r="D10" s="3" t="s">
        <v>22</v>
      </c>
      <c r="E10" s="5">
        <f>COUNTIF('08_开放问题'!$G$4:$G$18,"Open")</f>
        <v>8</v>
      </c>
    </row>
    <row r="11" spans="1:8" ht="27.95" customHeight="1">
      <c r="A11" s="3" t="s">
        <v>23</v>
      </c>
      <c r="B11" s="2" t="s">
        <v>24</v>
      </c>
    </row>
    <row r="12" spans="1:8" ht="32.1" customHeight="1">
      <c r="A12" s="3" t="s">
        <v>25</v>
      </c>
      <c r="B12" s="2" t="s">
        <v>26</v>
      </c>
      <c r="D12" s="16" t="s">
        <v>27</v>
      </c>
      <c r="E12" s="16"/>
      <c r="F12" s="16"/>
      <c r="G12" s="16"/>
      <c r="H12" s="16"/>
    </row>
    <row r="13" spans="1:8" ht="32.1" customHeight="1">
      <c r="A13" s="3" t="s">
        <v>28</v>
      </c>
      <c r="B13" s="2" t="s">
        <v>725</v>
      </c>
      <c r="D13" s="1" t="s">
        <v>30</v>
      </c>
      <c r="E13" s="1" t="s">
        <v>31</v>
      </c>
      <c r="F13" s="1" t="s">
        <v>32</v>
      </c>
      <c r="G13" s="1" t="s">
        <v>33</v>
      </c>
      <c r="H13" s="1" t="s">
        <v>34</v>
      </c>
    </row>
    <row r="14" spans="1:8" ht="27.95" customHeight="1">
      <c r="D14" s="2" t="s">
        <v>35</v>
      </c>
      <c r="E14" s="2" t="s">
        <v>725</v>
      </c>
      <c r="F14" s="2" t="s">
        <v>725</v>
      </c>
      <c r="G14" s="2" t="s">
        <v>36</v>
      </c>
      <c r="H14" s="2" t="s">
        <v>725</v>
      </c>
    </row>
    <row r="15" spans="1:8" ht="39.950000000000003" customHeight="1">
      <c r="A15" s="3" t="s">
        <v>37</v>
      </c>
      <c r="B15" s="2" t="s">
        <v>38</v>
      </c>
      <c r="D15" s="2" t="s">
        <v>39</v>
      </c>
      <c r="E15" s="2" t="s">
        <v>726</v>
      </c>
      <c r="F15" s="2" t="s">
        <v>726</v>
      </c>
      <c r="G15" s="2" t="s">
        <v>40</v>
      </c>
      <c r="H15" s="2" t="s">
        <v>726</v>
      </c>
    </row>
    <row r="16" spans="1:8" ht="39.950000000000003" customHeight="1">
      <c r="A16" s="3" t="s">
        <v>41</v>
      </c>
      <c r="B16" s="2" t="s">
        <v>42</v>
      </c>
      <c r="D16" s="2" t="s">
        <v>43</v>
      </c>
      <c r="E16" s="2" t="s">
        <v>726</v>
      </c>
      <c r="F16" s="2" t="s">
        <v>726</v>
      </c>
      <c r="G16" s="2" t="s">
        <v>44</v>
      </c>
      <c r="H16" s="2" t="s">
        <v>726</v>
      </c>
    </row>
    <row r="17" spans="1:8" ht="39.950000000000003" customHeight="1">
      <c r="A17" s="3" t="s">
        <v>45</v>
      </c>
      <c r="B17" s="2" t="s">
        <v>46</v>
      </c>
      <c r="D17" s="2" t="s">
        <v>47</v>
      </c>
      <c r="E17" s="2" t="s">
        <v>726</v>
      </c>
      <c r="F17" s="2" t="s">
        <v>726</v>
      </c>
      <c r="G17" s="2" t="s">
        <v>48</v>
      </c>
      <c r="H17" s="2" t="s">
        <v>726</v>
      </c>
    </row>
    <row r="18" spans="1:8" ht="39.950000000000003" customHeight="1">
      <c r="A18" s="3" t="s">
        <v>49</v>
      </c>
      <c r="B18" s="2" t="s">
        <v>50</v>
      </c>
    </row>
    <row r="19" spans="1:8" ht="39.950000000000003" customHeight="1">
      <c r="A19" s="3" t="s">
        <v>51</v>
      </c>
      <c r="B19" s="2" t="s">
        <v>52</v>
      </c>
    </row>
  </sheetData>
  <mergeCells count="4">
    <mergeCell ref="A1:H1"/>
    <mergeCell ref="A2:H2"/>
    <mergeCell ref="D4:H4"/>
    <mergeCell ref="D12:H1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showGridLines="0" workbookViewId="0">
      <selection activeCell="B13" sqref="B13"/>
    </sheetView>
  </sheetViews>
  <sheetFormatPr defaultRowHeight="14.25"/>
  <cols>
    <col min="1" max="1" width="13" customWidth="1"/>
    <col min="2" max="2" width="14" customWidth="1"/>
    <col min="3" max="3" width="25" customWidth="1"/>
    <col min="4" max="4" width="54" customWidth="1"/>
    <col min="5" max="5" width="10" customWidth="1"/>
    <col min="6" max="6" width="12" customWidth="1"/>
    <col min="7" max="7" width="24" customWidth="1"/>
    <col min="8" max="8" width="14" customWidth="1"/>
  </cols>
  <sheetData>
    <row r="1" spans="1:8" ht="30" customHeight="1">
      <c r="A1" s="14" t="s">
        <v>53</v>
      </c>
      <c r="B1" s="14"/>
      <c r="C1" s="14"/>
      <c r="D1" s="14"/>
      <c r="E1" s="14"/>
      <c r="F1" s="14"/>
      <c r="G1" s="14"/>
      <c r="H1" s="14"/>
    </row>
    <row r="2" spans="1:8" ht="32.1" customHeight="1">
      <c r="A2" s="15" t="s">
        <v>54</v>
      </c>
      <c r="B2" s="15"/>
      <c r="C2" s="15"/>
      <c r="D2" s="15"/>
      <c r="E2" s="15"/>
      <c r="F2" s="15"/>
      <c r="G2" s="15"/>
      <c r="H2" s="15"/>
    </row>
    <row r="3" spans="1:8" ht="32.1" customHeight="1">
      <c r="A3" s="1" t="s">
        <v>55</v>
      </c>
      <c r="B3" s="1" t="s">
        <v>56</v>
      </c>
      <c r="C3" s="1" t="s">
        <v>57</v>
      </c>
      <c r="D3" s="1" t="s">
        <v>58</v>
      </c>
      <c r="E3" s="1" t="s">
        <v>59</v>
      </c>
      <c r="F3" s="1" t="s">
        <v>60</v>
      </c>
      <c r="G3" s="1" t="s">
        <v>61</v>
      </c>
      <c r="H3" s="1" t="s">
        <v>14</v>
      </c>
    </row>
    <row r="4" spans="1:8" ht="38.1" customHeight="1">
      <c r="A4" s="2" t="s">
        <v>62</v>
      </c>
      <c r="B4" s="2" t="s">
        <v>63</v>
      </c>
      <c r="C4" s="2" t="s">
        <v>64</v>
      </c>
      <c r="D4" s="18" t="s">
        <v>727</v>
      </c>
      <c r="E4" s="2" t="s">
        <v>65</v>
      </c>
      <c r="F4" s="2" t="s">
        <v>65</v>
      </c>
      <c r="G4" s="2" t="s">
        <v>66</v>
      </c>
      <c r="H4" s="6" t="s">
        <v>36</v>
      </c>
    </row>
    <row r="5" spans="1:8" ht="38.1" customHeight="1">
      <c r="A5" s="2" t="s">
        <v>67</v>
      </c>
      <c r="B5" s="2" t="s">
        <v>68</v>
      </c>
      <c r="C5" s="2" t="s">
        <v>69</v>
      </c>
      <c r="D5" s="2" t="s">
        <v>70</v>
      </c>
      <c r="E5" s="2" t="s">
        <v>71</v>
      </c>
      <c r="F5" s="2" t="s">
        <v>65</v>
      </c>
      <c r="G5" s="2" t="s">
        <v>72</v>
      </c>
      <c r="H5" s="6" t="s">
        <v>36</v>
      </c>
    </row>
    <row r="6" spans="1:8" ht="38.1" customHeight="1">
      <c r="A6" s="2" t="s">
        <v>73</v>
      </c>
      <c r="B6" s="2" t="s">
        <v>68</v>
      </c>
      <c r="C6" s="2" t="s">
        <v>74</v>
      </c>
      <c r="D6" s="2" t="s">
        <v>75</v>
      </c>
      <c r="E6" s="2" t="s">
        <v>71</v>
      </c>
      <c r="F6" s="2" t="s">
        <v>65</v>
      </c>
      <c r="G6" s="2" t="s">
        <v>76</v>
      </c>
      <c r="H6" s="6" t="s">
        <v>36</v>
      </c>
    </row>
    <row r="7" spans="1:8" ht="38.1" customHeight="1">
      <c r="A7" s="2" t="s">
        <v>77</v>
      </c>
      <c r="B7" s="2" t="s">
        <v>68</v>
      </c>
      <c r="C7" s="2" t="s">
        <v>78</v>
      </c>
      <c r="D7" s="2" t="s">
        <v>79</v>
      </c>
      <c r="E7" s="2" t="s">
        <v>71</v>
      </c>
      <c r="F7" s="2" t="s">
        <v>65</v>
      </c>
      <c r="G7" s="2" t="s">
        <v>80</v>
      </c>
      <c r="H7" s="6" t="s">
        <v>36</v>
      </c>
    </row>
    <row r="8" spans="1:8" ht="38.1" customHeight="1">
      <c r="A8" s="2" t="s">
        <v>81</v>
      </c>
      <c r="B8" s="2" t="s">
        <v>68</v>
      </c>
      <c r="C8" s="2" t="s">
        <v>82</v>
      </c>
      <c r="D8" s="2" t="s">
        <v>83</v>
      </c>
      <c r="E8" s="2" t="s">
        <v>71</v>
      </c>
      <c r="F8" s="2" t="s">
        <v>65</v>
      </c>
      <c r="G8" s="2" t="s">
        <v>84</v>
      </c>
      <c r="H8" s="6" t="s">
        <v>36</v>
      </c>
    </row>
    <row r="9" spans="1:8" ht="38.1" customHeight="1">
      <c r="A9" s="2" t="s">
        <v>85</v>
      </c>
      <c r="B9" s="2" t="s">
        <v>68</v>
      </c>
      <c r="C9" s="2" t="s">
        <v>86</v>
      </c>
      <c r="D9" s="2" t="s">
        <v>87</v>
      </c>
      <c r="E9" s="2" t="s">
        <v>71</v>
      </c>
      <c r="F9" s="2" t="s">
        <v>65</v>
      </c>
      <c r="G9" s="2" t="s">
        <v>88</v>
      </c>
      <c r="H9" s="6" t="s">
        <v>36</v>
      </c>
    </row>
    <row r="10" spans="1:8" ht="38.1" customHeight="1">
      <c r="A10" s="2" t="s">
        <v>89</v>
      </c>
      <c r="B10" s="2" t="s">
        <v>68</v>
      </c>
      <c r="C10" s="2" t="s">
        <v>90</v>
      </c>
      <c r="D10" s="2" t="s">
        <v>91</v>
      </c>
      <c r="E10" s="2" t="s">
        <v>71</v>
      </c>
      <c r="F10" s="2" t="s">
        <v>65</v>
      </c>
      <c r="G10" s="2" t="s">
        <v>92</v>
      </c>
      <c r="H10" s="6" t="s">
        <v>36</v>
      </c>
    </row>
    <row r="11" spans="1:8" ht="38.1" customHeight="1">
      <c r="A11" s="2" t="s">
        <v>93</v>
      </c>
      <c r="B11" s="2" t="s">
        <v>68</v>
      </c>
      <c r="C11" s="2" t="s">
        <v>94</v>
      </c>
      <c r="D11" s="2" t="s">
        <v>95</v>
      </c>
      <c r="E11" s="2" t="s">
        <v>71</v>
      </c>
      <c r="F11" s="2" t="s">
        <v>65</v>
      </c>
      <c r="G11" s="2" t="s">
        <v>96</v>
      </c>
      <c r="H11" s="6" t="s">
        <v>36</v>
      </c>
    </row>
    <row r="12" spans="1:8" ht="38.1" customHeight="1">
      <c r="A12" s="2" t="s">
        <v>97</v>
      </c>
      <c r="B12" s="2" t="s">
        <v>98</v>
      </c>
      <c r="C12" s="2" t="s">
        <v>99</v>
      </c>
      <c r="D12" s="2" t="s">
        <v>100</v>
      </c>
      <c r="E12" s="2" t="s">
        <v>71</v>
      </c>
      <c r="F12" s="2" t="s">
        <v>71</v>
      </c>
      <c r="G12" s="2" t="s">
        <v>101</v>
      </c>
      <c r="H12" s="6" t="s">
        <v>102</v>
      </c>
    </row>
    <row r="13" spans="1:8" ht="38.1" customHeight="1">
      <c r="A13" s="2" t="s">
        <v>103</v>
      </c>
      <c r="B13" s="2" t="s">
        <v>104</v>
      </c>
      <c r="C13" s="2" t="s">
        <v>105</v>
      </c>
      <c r="D13" s="2" t="s">
        <v>106</v>
      </c>
      <c r="E13" s="2" t="s">
        <v>65</v>
      </c>
      <c r="F13" s="2" t="s">
        <v>65</v>
      </c>
      <c r="G13" s="2" t="s">
        <v>107</v>
      </c>
      <c r="H13" s="6" t="s">
        <v>36</v>
      </c>
    </row>
    <row r="14" spans="1:8" ht="38.1" customHeight="1">
      <c r="A14" s="2" t="s">
        <v>108</v>
      </c>
      <c r="B14" s="2" t="s">
        <v>104</v>
      </c>
      <c r="C14" s="2" t="s">
        <v>109</v>
      </c>
      <c r="D14" s="2" t="s">
        <v>110</v>
      </c>
      <c r="E14" s="2" t="s">
        <v>65</v>
      </c>
      <c r="F14" s="2" t="s">
        <v>65</v>
      </c>
      <c r="G14" s="2" t="s">
        <v>107</v>
      </c>
      <c r="H14" s="6" t="s">
        <v>36</v>
      </c>
    </row>
    <row r="15" spans="1:8" ht="38.1" customHeight="1">
      <c r="A15" s="2" t="s">
        <v>111</v>
      </c>
      <c r="B15" s="2" t="s">
        <v>104</v>
      </c>
      <c r="C15" s="2" t="s">
        <v>112</v>
      </c>
      <c r="D15" s="2" t="s">
        <v>113</v>
      </c>
      <c r="E15" s="2" t="s">
        <v>65</v>
      </c>
      <c r="F15" s="2" t="s">
        <v>65</v>
      </c>
      <c r="G15" s="2" t="s">
        <v>114</v>
      </c>
      <c r="H15" s="6" t="s">
        <v>36</v>
      </c>
    </row>
    <row r="16" spans="1:8" ht="38.1" customHeight="1">
      <c r="A16" s="2" t="s">
        <v>115</v>
      </c>
      <c r="B16" s="2" t="s">
        <v>104</v>
      </c>
      <c r="C16" s="2" t="s">
        <v>116</v>
      </c>
      <c r="D16" s="2" t="s">
        <v>117</v>
      </c>
      <c r="E16" s="2" t="s">
        <v>65</v>
      </c>
      <c r="F16" s="2" t="s">
        <v>65</v>
      </c>
      <c r="G16" s="2" t="s">
        <v>118</v>
      </c>
      <c r="H16" s="6" t="s">
        <v>36</v>
      </c>
    </row>
    <row r="17" spans="1:8" ht="38.1" customHeight="1">
      <c r="A17" s="2" t="s">
        <v>119</v>
      </c>
      <c r="B17" s="2" t="s">
        <v>104</v>
      </c>
      <c r="C17" s="2" t="s">
        <v>120</v>
      </c>
      <c r="D17" s="2" t="s">
        <v>121</v>
      </c>
      <c r="E17" s="2" t="s">
        <v>65</v>
      </c>
      <c r="F17" s="2" t="s">
        <v>65</v>
      </c>
      <c r="G17" s="2" t="s">
        <v>122</v>
      </c>
      <c r="H17" s="6" t="s">
        <v>36</v>
      </c>
    </row>
  </sheetData>
  <mergeCells count="2">
    <mergeCell ref="A1:H1"/>
    <mergeCell ref="A2:H2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9"/>
  <sheetViews>
    <sheetView showGridLines="0" topLeftCell="B9" workbookViewId="0">
      <selection sqref="A1:J1"/>
    </sheetView>
  </sheetViews>
  <sheetFormatPr defaultRowHeight="14.25"/>
  <cols>
    <col min="1" max="1" width="13" customWidth="1"/>
    <col min="2" max="2" width="12" customWidth="1"/>
    <col min="3" max="3" width="20" customWidth="1"/>
    <col min="4" max="4" width="16" customWidth="1"/>
    <col min="5" max="5" width="48" customWidth="1"/>
    <col min="6" max="6" width="34" customWidth="1"/>
    <col min="7" max="7" width="44" customWidth="1"/>
    <col min="8" max="9" width="14" customWidth="1"/>
    <col min="10" max="10" width="30" customWidth="1"/>
  </cols>
  <sheetData>
    <row r="1" spans="1:10" ht="30" customHeight="1">
      <c r="A1" s="14" t="s">
        <v>123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32.1" customHeight="1">
      <c r="A2" s="15" t="s">
        <v>124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32.1" customHeight="1">
      <c r="A3" s="1" t="s">
        <v>125</v>
      </c>
      <c r="B3" s="1" t="s">
        <v>126</v>
      </c>
      <c r="C3" s="1" t="s">
        <v>127</v>
      </c>
      <c r="D3" s="1" t="s">
        <v>128</v>
      </c>
      <c r="E3" s="1" t="s">
        <v>61</v>
      </c>
    </row>
    <row r="4" spans="1:10" ht="38.1" customHeight="1">
      <c r="A4" s="2" t="s">
        <v>129</v>
      </c>
      <c r="B4" s="2" t="s">
        <v>130</v>
      </c>
      <c r="C4" s="2" t="s">
        <v>131</v>
      </c>
      <c r="D4" s="2" t="s">
        <v>132</v>
      </c>
      <c r="E4" s="2" t="s">
        <v>133</v>
      </c>
    </row>
    <row r="5" spans="1:10" ht="38.1" customHeight="1">
      <c r="A5" s="2" t="s">
        <v>134</v>
      </c>
      <c r="B5" s="2" t="s">
        <v>135</v>
      </c>
      <c r="C5" s="2" t="s">
        <v>136</v>
      </c>
      <c r="D5" s="2" t="s">
        <v>137</v>
      </c>
      <c r="E5" s="2" t="s">
        <v>138</v>
      </c>
    </row>
    <row r="6" spans="1:10" ht="38.1" customHeight="1">
      <c r="A6" s="2" t="s">
        <v>139</v>
      </c>
      <c r="B6" s="2" t="s">
        <v>140</v>
      </c>
      <c r="C6" s="2" t="s">
        <v>141</v>
      </c>
      <c r="D6" s="2" t="s">
        <v>142</v>
      </c>
      <c r="E6" s="2" t="s">
        <v>143</v>
      </c>
    </row>
    <row r="7" spans="1:10" ht="38.1" customHeight="1">
      <c r="A7" s="2" t="s">
        <v>144</v>
      </c>
      <c r="B7" s="2" t="s">
        <v>145</v>
      </c>
      <c r="C7" s="2" t="s">
        <v>146</v>
      </c>
      <c r="D7" s="2" t="s">
        <v>147</v>
      </c>
      <c r="E7" s="2" t="s">
        <v>148</v>
      </c>
    </row>
    <row r="8" spans="1:10" ht="38.1" customHeight="1">
      <c r="A8" s="2" t="s">
        <v>149</v>
      </c>
      <c r="B8" s="2" t="s">
        <v>150</v>
      </c>
      <c r="C8" s="2" t="s">
        <v>151</v>
      </c>
      <c r="D8" s="2" t="s">
        <v>152</v>
      </c>
      <c r="E8" s="2" t="s">
        <v>153</v>
      </c>
    </row>
    <row r="9" spans="1:10" ht="38.1" customHeight="1">
      <c r="A9" s="2" t="s">
        <v>154</v>
      </c>
      <c r="B9" s="2" t="s">
        <v>155</v>
      </c>
      <c r="C9" s="2" t="s">
        <v>156</v>
      </c>
      <c r="D9" s="2" t="s">
        <v>157</v>
      </c>
      <c r="E9" s="2" t="s">
        <v>153</v>
      </c>
    </row>
    <row r="10" spans="1:10" ht="38.1" customHeight="1">
      <c r="A10" s="2" t="s">
        <v>158</v>
      </c>
      <c r="B10" s="2" t="s">
        <v>159</v>
      </c>
      <c r="C10" s="2" t="s">
        <v>160</v>
      </c>
      <c r="D10" s="2" t="s">
        <v>161</v>
      </c>
      <c r="E10" s="2" t="s">
        <v>162</v>
      </c>
    </row>
    <row r="11" spans="1:10" ht="38.1" customHeight="1">
      <c r="A11" s="2" t="s">
        <v>163</v>
      </c>
      <c r="B11" s="2" t="s">
        <v>164</v>
      </c>
      <c r="C11" s="2" t="s">
        <v>165</v>
      </c>
      <c r="D11" s="2" t="s">
        <v>166</v>
      </c>
      <c r="E11" s="2" t="s">
        <v>133</v>
      </c>
    </row>
    <row r="12" spans="1:10" ht="38.1" customHeight="1">
      <c r="A12" s="2" t="s">
        <v>167</v>
      </c>
      <c r="B12" s="2" t="s">
        <v>168</v>
      </c>
      <c r="C12" s="2" t="s">
        <v>169</v>
      </c>
      <c r="D12" s="2" t="s">
        <v>170</v>
      </c>
      <c r="E12" s="2" t="s">
        <v>171</v>
      </c>
    </row>
    <row r="13" spans="1:10" ht="38.1" customHeight="1">
      <c r="A13" s="2" t="s">
        <v>172</v>
      </c>
      <c r="B13" s="2" t="s">
        <v>173</v>
      </c>
      <c r="C13" s="2" t="s">
        <v>174</v>
      </c>
      <c r="D13" s="2" t="s">
        <v>175</v>
      </c>
      <c r="E13" s="2" t="s">
        <v>176</v>
      </c>
    </row>
    <row r="16" spans="1:10" ht="32.1" customHeight="1">
      <c r="A16" s="16" t="s">
        <v>177</v>
      </c>
      <c r="B16" s="16"/>
      <c r="C16" s="16"/>
      <c r="D16" s="16"/>
      <c r="E16" s="16"/>
      <c r="F16" s="16"/>
      <c r="G16" s="16"/>
      <c r="H16" s="16"/>
      <c r="I16" s="16"/>
      <c r="J16" s="16"/>
    </row>
    <row r="17" spans="1:10" ht="32.1" customHeight="1">
      <c r="A17" s="1" t="s">
        <v>178</v>
      </c>
      <c r="B17" s="1" t="s">
        <v>179</v>
      </c>
      <c r="C17" s="1" t="s">
        <v>180</v>
      </c>
      <c r="D17" s="1" t="s">
        <v>181</v>
      </c>
      <c r="E17" s="1" t="s">
        <v>182</v>
      </c>
      <c r="F17" s="1" t="s">
        <v>183</v>
      </c>
      <c r="G17" s="1" t="s">
        <v>184</v>
      </c>
      <c r="H17" s="1" t="s">
        <v>185</v>
      </c>
      <c r="I17" s="1" t="s">
        <v>14</v>
      </c>
      <c r="J17" s="1" t="s">
        <v>186</v>
      </c>
    </row>
    <row r="18" spans="1:10" ht="48" customHeight="1">
      <c r="A18" s="2" t="s">
        <v>187</v>
      </c>
      <c r="B18" s="2" t="s">
        <v>181</v>
      </c>
      <c r="C18" s="2" t="s">
        <v>188</v>
      </c>
      <c r="D18" s="2" t="s">
        <v>189</v>
      </c>
      <c r="E18" s="2" t="s">
        <v>190</v>
      </c>
      <c r="F18" s="2" t="s">
        <v>191</v>
      </c>
      <c r="G18" s="2" t="s">
        <v>192</v>
      </c>
      <c r="H18" s="2" t="s">
        <v>65</v>
      </c>
      <c r="I18" s="6" t="s">
        <v>36</v>
      </c>
      <c r="J18" s="2" t="s">
        <v>193</v>
      </c>
    </row>
    <row r="19" spans="1:10" ht="48" customHeight="1">
      <c r="A19" s="2" t="s">
        <v>194</v>
      </c>
      <c r="B19" s="2" t="s">
        <v>181</v>
      </c>
      <c r="C19" s="2" t="s">
        <v>195</v>
      </c>
      <c r="D19" s="2" t="s">
        <v>189</v>
      </c>
      <c r="E19" s="2" t="s">
        <v>196</v>
      </c>
      <c r="F19" s="2" t="s">
        <v>197</v>
      </c>
      <c r="G19" s="2" t="s">
        <v>198</v>
      </c>
      <c r="H19" s="2" t="s">
        <v>65</v>
      </c>
      <c r="I19" s="6" t="s">
        <v>36</v>
      </c>
      <c r="J19" s="2" t="s">
        <v>199</v>
      </c>
    </row>
    <row r="20" spans="1:10" ht="48" customHeight="1">
      <c r="A20" s="2" t="s">
        <v>200</v>
      </c>
      <c r="B20" s="2" t="s">
        <v>181</v>
      </c>
      <c r="C20" s="2" t="s">
        <v>201</v>
      </c>
      <c r="D20" s="2" t="s">
        <v>202</v>
      </c>
      <c r="E20" s="2" t="s">
        <v>203</v>
      </c>
      <c r="F20" s="2" t="s">
        <v>204</v>
      </c>
      <c r="G20" s="2" t="s">
        <v>205</v>
      </c>
      <c r="H20" s="2" t="s">
        <v>65</v>
      </c>
      <c r="I20" s="6" t="s">
        <v>36</v>
      </c>
      <c r="J20" s="2" t="s">
        <v>206</v>
      </c>
    </row>
    <row r="21" spans="1:10" ht="48" customHeight="1">
      <c r="A21" s="2" t="s">
        <v>207</v>
      </c>
      <c r="B21" s="2" t="s">
        <v>181</v>
      </c>
      <c r="C21" s="2" t="s">
        <v>195</v>
      </c>
      <c r="D21" s="2" t="s">
        <v>202</v>
      </c>
      <c r="E21" s="2" t="s">
        <v>208</v>
      </c>
      <c r="F21" s="2" t="s">
        <v>209</v>
      </c>
      <c r="G21" s="2" t="s">
        <v>210</v>
      </c>
      <c r="H21" s="2" t="s">
        <v>65</v>
      </c>
      <c r="I21" s="6" t="s">
        <v>36</v>
      </c>
      <c r="J21" s="2" t="s">
        <v>211</v>
      </c>
    </row>
    <row r="22" spans="1:10" ht="48" customHeight="1">
      <c r="A22" s="2" t="s">
        <v>212</v>
      </c>
      <c r="B22" s="2" t="s">
        <v>181</v>
      </c>
      <c r="C22" s="2" t="s">
        <v>129</v>
      </c>
      <c r="D22" s="2" t="s">
        <v>213</v>
      </c>
      <c r="E22" s="2" t="s">
        <v>214</v>
      </c>
      <c r="F22" s="2" t="s">
        <v>191</v>
      </c>
      <c r="G22" s="2" t="s">
        <v>215</v>
      </c>
      <c r="H22" s="2" t="s">
        <v>65</v>
      </c>
      <c r="I22" s="6" t="s">
        <v>36</v>
      </c>
      <c r="J22" s="2"/>
    </row>
    <row r="23" spans="1:10" ht="48" customHeight="1">
      <c r="A23" s="2" t="s">
        <v>216</v>
      </c>
      <c r="B23" s="2" t="s">
        <v>181</v>
      </c>
      <c r="C23" s="2" t="s">
        <v>129</v>
      </c>
      <c r="D23" s="2" t="s">
        <v>217</v>
      </c>
      <c r="E23" s="2" t="s">
        <v>218</v>
      </c>
      <c r="F23" s="2" t="s">
        <v>219</v>
      </c>
      <c r="G23" s="2" t="s">
        <v>215</v>
      </c>
      <c r="H23" s="2" t="s">
        <v>65</v>
      </c>
      <c r="I23" s="6" t="s">
        <v>36</v>
      </c>
      <c r="J23" s="2" t="s">
        <v>220</v>
      </c>
    </row>
    <row r="24" spans="1:10" ht="48" customHeight="1">
      <c r="A24" s="2" t="s">
        <v>221</v>
      </c>
      <c r="B24" s="2" t="s">
        <v>222</v>
      </c>
      <c r="C24" s="2" t="s">
        <v>223</v>
      </c>
      <c r="D24" s="2" t="s">
        <v>224</v>
      </c>
      <c r="E24" s="2" t="s">
        <v>225</v>
      </c>
      <c r="F24" s="2" t="s">
        <v>226</v>
      </c>
      <c r="G24" s="2" t="s">
        <v>227</v>
      </c>
      <c r="H24" s="2" t="s">
        <v>65</v>
      </c>
      <c r="I24" s="6" t="s">
        <v>36</v>
      </c>
      <c r="J24" s="2"/>
    </row>
    <row r="25" spans="1:10" ht="48" customHeight="1">
      <c r="A25" s="2" t="s">
        <v>228</v>
      </c>
      <c r="B25" s="2" t="s">
        <v>229</v>
      </c>
      <c r="C25" s="2" t="s">
        <v>134</v>
      </c>
      <c r="D25" s="2" t="s">
        <v>230</v>
      </c>
      <c r="E25" s="2" t="s">
        <v>231</v>
      </c>
      <c r="F25" s="2" t="s">
        <v>232</v>
      </c>
      <c r="G25" s="2" t="s">
        <v>233</v>
      </c>
      <c r="H25" s="2" t="s">
        <v>65</v>
      </c>
      <c r="I25" s="6" t="s">
        <v>36</v>
      </c>
      <c r="J25" s="2"/>
    </row>
    <row r="26" spans="1:10" ht="48" customHeight="1">
      <c r="A26" s="2" t="s">
        <v>234</v>
      </c>
      <c r="B26" s="2" t="s">
        <v>222</v>
      </c>
      <c r="C26" s="2" t="s">
        <v>158</v>
      </c>
      <c r="D26" s="2" t="s">
        <v>235</v>
      </c>
      <c r="E26" s="2" t="s">
        <v>236</v>
      </c>
      <c r="F26" s="2" t="s">
        <v>191</v>
      </c>
      <c r="G26" s="2" t="s">
        <v>237</v>
      </c>
      <c r="H26" s="2" t="s">
        <v>65</v>
      </c>
      <c r="I26" s="6" t="s">
        <v>36</v>
      </c>
      <c r="J26" s="2"/>
    </row>
    <row r="27" spans="1:10" ht="48" customHeight="1">
      <c r="A27" s="2" t="s">
        <v>238</v>
      </c>
      <c r="B27" s="2" t="s">
        <v>229</v>
      </c>
      <c r="C27" s="2" t="s">
        <v>167</v>
      </c>
      <c r="D27" s="2" t="s">
        <v>239</v>
      </c>
      <c r="E27" s="2" t="s">
        <v>240</v>
      </c>
      <c r="F27" s="2" t="s">
        <v>241</v>
      </c>
      <c r="G27" s="2" t="s">
        <v>242</v>
      </c>
      <c r="H27" s="2" t="s">
        <v>65</v>
      </c>
      <c r="I27" s="6" t="s">
        <v>36</v>
      </c>
      <c r="J27" s="2" t="s">
        <v>243</v>
      </c>
    </row>
    <row r="28" spans="1:10" ht="48" customHeight="1">
      <c r="A28" s="2" t="s">
        <v>244</v>
      </c>
      <c r="B28" s="2" t="s">
        <v>181</v>
      </c>
      <c r="C28" s="2" t="s">
        <v>154</v>
      </c>
      <c r="D28" s="2" t="s">
        <v>245</v>
      </c>
      <c r="E28" s="2" t="s">
        <v>246</v>
      </c>
      <c r="F28" s="2" t="s">
        <v>232</v>
      </c>
      <c r="G28" s="2" t="s">
        <v>247</v>
      </c>
      <c r="H28" s="2" t="s">
        <v>65</v>
      </c>
      <c r="I28" s="6" t="s">
        <v>36</v>
      </c>
      <c r="J28" s="2" t="s">
        <v>248</v>
      </c>
    </row>
    <row r="29" spans="1:10" ht="48" customHeight="1">
      <c r="A29" s="2" t="s">
        <v>249</v>
      </c>
      <c r="B29" s="2" t="s">
        <v>229</v>
      </c>
      <c r="C29" s="2" t="s">
        <v>167</v>
      </c>
      <c r="D29" s="2" t="s">
        <v>250</v>
      </c>
      <c r="E29" s="2" t="s">
        <v>251</v>
      </c>
      <c r="F29" s="2" t="s">
        <v>241</v>
      </c>
      <c r="G29" s="2" t="s">
        <v>252</v>
      </c>
      <c r="H29" s="2" t="s">
        <v>65</v>
      </c>
      <c r="I29" s="6" t="s">
        <v>36</v>
      </c>
      <c r="J29" s="2" t="s">
        <v>253</v>
      </c>
    </row>
  </sheetData>
  <mergeCells count="3">
    <mergeCell ref="A1:J1"/>
    <mergeCell ref="A2:J2"/>
    <mergeCell ref="A16:J16"/>
  </mergeCells>
  <phoneticPr fontId="8" type="noConversion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9"/>
  <sheetViews>
    <sheetView showGridLines="0" topLeftCell="A13" workbookViewId="0">
      <selection sqref="A1:L1"/>
    </sheetView>
  </sheetViews>
  <sheetFormatPr defaultRowHeight="14.25"/>
  <cols>
    <col min="1" max="1" width="12" customWidth="1"/>
    <col min="2" max="2" width="20" customWidth="1"/>
    <col min="3" max="4" width="14" customWidth="1"/>
    <col min="5" max="5" width="24" customWidth="1"/>
    <col min="6" max="6" width="12" customWidth="1"/>
    <col min="7" max="7" width="14" customWidth="1"/>
    <col min="8" max="8" width="26" customWidth="1"/>
    <col min="9" max="9" width="16" customWidth="1"/>
    <col min="10" max="10" width="14" customWidth="1"/>
    <col min="11" max="11" width="12" customWidth="1"/>
    <col min="12" max="12" width="34" customWidth="1"/>
  </cols>
  <sheetData>
    <row r="1" spans="1:12" ht="30" customHeight="1">
      <c r="A1" s="14" t="s">
        <v>254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32.1" customHeight="1">
      <c r="A2" s="15" t="s">
        <v>255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ht="32.1" customHeight="1">
      <c r="A3" s="1" t="s">
        <v>256</v>
      </c>
      <c r="B3" s="1" t="s">
        <v>257</v>
      </c>
      <c r="C3" s="1" t="s">
        <v>258</v>
      </c>
      <c r="D3" s="1" t="s">
        <v>259</v>
      </c>
      <c r="E3" s="1" t="s">
        <v>260</v>
      </c>
      <c r="F3" s="1" t="s">
        <v>261</v>
      </c>
      <c r="G3" s="1" t="s">
        <v>262</v>
      </c>
      <c r="H3" s="1" t="s">
        <v>263</v>
      </c>
      <c r="I3" s="1" t="s">
        <v>264</v>
      </c>
      <c r="J3" s="1" t="s">
        <v>265</v>
      </c>
      <c r="K3" s="1" t="s">
        <v>266</v>
      </c>
      <c r="L3" s="1" t="s">
        <v>267</v>
      </c>
    </row>
    <row r="4" spans="1:12" ht="44.1" customHeight="1">
      <c r="A4" s="2" t="s">
        <v>268</v>
      </c>
      <c r="B4" s="2" t="s">
        <v>269</v>
      </c>
      <c r="C4" s="2" t="s">
        <v>270</v>
      </c>
      <c r="D4" s="2" t="s">
        <v>271</v>
      </c>
      <c r="E4" s="2" t="s">
        <v>272</v>
      </c>
      <c r="F4" s="2" t="s">
        <v>273</v>
      </c>
      <c r="G4" s="2" t="s">
        <v>274</v>
      </c>
      <c r="H4" s="2" t="s">
        <v>275</v>
      </c>
      <c r="I4" s="2" t="s">
        <v>276</v>
      </c>
      <c r="J4" s="6" t="s">
        <v>277</v>
      </c>
      <c r="K4" s="6" t="s">
        <v>278</v>
      </c>
      <c r="L4" s="2" t="s">
        <v>279</v>
      </c>
    </row>
    <row r="5" spans="1:12" ht="44.1" customHeight="1">
      <c r="A5" s="2" t="s">
        <v>280</v>
      </c>
      <c r="B5" s="2" t="s">
        <v>269</v>
      </c>
      <c r="C5" s="2" t="s">
        <v>281</v>
      </c>
      <c r="D5" s="2" t="s">
        <v>271</v>
      </c>
      <c r="E5" s="2" t="s">
        <v>282</v>
      </c>
      <c r="F5" s="2" t="s">
        <v>273</v>
      </c>
      <c r="G5" s="2" t="s">
        <v>274</v>
      </c>
      <c r="H5" s="2" t="s">
        <v>283</v>
      </c>
      <c r="I5" s="2" t="s">
        <v>276</v>
      </c>
      <c r="J5" s="6" t="s">
        <v>277</v>
      </c>
      <c r="K5" s="6" t="s">
        <v>278</v>
      </c>
      <c r="L5" s="2" t="s">
        <v>279</v>
      </c>
    </row>
    <row r="6" spans="1:12" ht="44.1" customHeight="1">
      <c r="A6" s="2" t="s">
        <v>284</v>
      </c>
      <c r="B6" s="2" t="s">
        <v>269</v>
      </c>
      <c r="C6" s="2" t="s">
        <v>285</v>
      </c>
      <c r="D6" s="2" t="s">
        <v>285</v>
      </c>
      <c r="E6" s="2" t="s">
        <v>272</v>
      </c>
      <c r="F6" s="2" t="s">
        <v>273</v>
      </c>
      <c r="G6" s="2" t="s">
        <v>274</v>
      </c>
      <c r="H6" s="2" t="s">
        <v>285</v>
      </c>
      <c r="I6" s="2" t="s">
        <v>286</v>
      </c>
      <c r="J6" s="6" t="s">
        <v>287</v>
      </c>
      <c r="K6" s="6" t="s">
        <v>288</v>
      </c>
      <c r="L6" s="2" t="s">
        <v>289</v>
      </c>
    </row>
    <row r="7" spans="1:12" ht="44.1" customHeight="1">
      <c r="A7" s="2" t="s">
        <v>290</v>
      </c>
      <c r="B7" s="2" t="s">
        <v>269</v>
      </c>
      <c r="C7" s="2" t="s">
        <v>291</v>
      </c>
      <c r="D7" s="2" t="s">
        <v>291</v>
      </c>
      <c r="E7" s="2" t="s">
        <v>272</v>
      </c>
      <c r="F7" s="2" t="s">
        <v>273</v>
      </c>
      <c r="G7" s="2" t="s">
        <v>274</v>
      </c>
      <c r="H7" s="2" t="s">
        <v>292</v>
      </c>
      <c r="I7" s="2" t="s">
        <v>293</v>
      </c>
      <c r="J7" s="6" t="s">
        <v>287</v>
      </c>
      <c r="K7" s="6" t="s">
        <v>288</v>
      </c>
      <c r="L7" s="2" t="s">
        <v>294</v>
      </c>
    </row>
    <row r="8" spans="1:12" ht="44.1" customHeight="1">
      <c r="A8" s="2" t="s">
        <v>295</v>
      </c>
      <c r="B8" s="2" t="s">
        <v>296</v>
      </c>
      <c r="C8" s="2" t="s">
        <v>270</v>
      </c>
      <c r="D8" s="2" t="s">
        <v>271</v>
      </c>
      <c r="E8" s="2" t="s">
        <v>297</v>
      </c>
      <c r="F8" s="2" t="s">
        <v>273</v>
      </c>
      <c r="G8" s="2" t="s">
        <v>274</v>
      </c>
      <c r="H8" s="2" t="s">
        <v>298</v>
      </c>
      <c r="I8" s="2" t="s">
        <v>276</v>
      </c>
      <c r="J8" s="6" t="s">
        <v>287</v>
      </c>
      <c r="K8" s="6" t="s">
        <v>288</v>
      </c>
      <c r="L8" s="2" t="s">
        <v>299</v>
      </c>
    </row>
    <row r="9" spans="1:12" ht="44.1" customHeight="1">
      <c r="A9" s="2" t="s">
        <v>300</v>
      </c>
      <c r="B9" s="2" t="s">
        <v>296</v>
      </c>
      <c r="C9" s="2" t="s">
        <v>281</v>
      </c>
      <c r="D9" s="2" t="s">
        <v>271</v>
      </c>
      <c r="E9" s="2" t="s">
        <v>297</v>
      </c>
      <c r="F9" s="2" t="s">
        <v>273</v>
      </c>
      <c r="G9" s="2" t="s">
        <v>274</v>
      </c>
      <c r="H9" s="2" t="s">
        <v>301</v>
      </c>
      <c r="I9" s="2" t="s">
        <v>276</v>
      </c>
      <c r="J9" s="6" t="s">
        <v>277</v>
      </c>
      <c r="K9" s="6" t="s">
        <v>302</v>
      </c>
      <c r="L9" s="2" t="s">
        <v>279</v>
      </c>
    </row>
    <row r="10" spans="1:12" ht="44.1" customHeight="1">
      <c r="A10" s="2" t="s">
        <v>303</v>
      </c>
      <c r="B10" s="2" t="s">
        <v>296</v>
      </c>
      <c r="C10" s="2" t="s">
        <v>281</v>
      </c>
      <c r="D10" s="2" t="s">
        <v>285</v>
      </c>
      <c r="E10" s="2" t="s">
        <v>304</v>
      </c>
      <c r="F10" s="2" t="s">
        <v>273</v>
      </c>
      <c r="G10" s="2" t="s">
        <v>274</v>
      </c>
      <c r="H10" s="2" t="s">
        <v>285</v>
      </c>
      <c r="I10" s="2" t="s">
        <v>286</v>
      </c>
      <c r="J10" s="6" t="s">
        <v>277</v>
      </c>
      <c r="K10" s="6" t="s">
        <v>305</v>
      </c>
      <c r="L10" s="2" t="s">
        <v>279</v>
      </c>
    </row>
    <row r="11" spans="1:12" ht="44.1" customHeight="1">
      <c r="A11" s="2" t="s">
        <v>306</v>
      </c>
      <c r="B11" s="2" t="s">
        <v>296</v>
      </c>
      <c r="C11" s="2" t="s">
        <v>291</v>
      </c>
      <c r="D11" s="2" t="s">
        <v>291</v>
      </c>
      <c r="E11" s="2" t="s">
        <v>304</v>
      </c>
      <c r="F11" s="2" t="s">
        <v>273</v>
      </c>
      <c r="G11" s="2" t="s">
        <v>274</v>
      </c>
      <c r="H11" s="2" t="s">
        <v>307</v>
      </c>
      <c r="I11" s="2" t="s">
        <v>293</v>
      </c>
      <c r="J11" s="6" t="s">
        <v>277</v>
      </c>
      <c r="K11" s="6" t="s">
        <v>305</v>
      </c>
      <c r="L11" s="2" t="s">
        <v>279</v>
      </c>
    </row>
    <row r="12" spans="1:12" ht="44.1" customHeight="1">
      <c r="A12" s="2" t="s">
        <v>308</v>
      </c>
      <c r="B12" s="2" t="s">
        <v>309</v>
      </c>
      <c r="C12" s="2" t="s">
        <v>270</v>
      </c>
      <c r="D12" s="2" t="s">
        <v>271</v>
      </c>
      <c r="E12" s="2" t="s">
        <v>272</v>
      </c>
      <c r="F12" s="2" t="s">
        <v>310</v>
      </c>
      <c r="G12" s="2" t="s">
        <v>274</v>
      </c>
      <c r="H12" s="2" t="s">
        <v>298</v>
      </c>
      <c r="I12" s="2" t="s">
        <v>276</v>
      </c>
      <c r="J12" s="6" t="s">
        <v>277</v>
      </c>
      <c r="K12" s="6" t="s">
        <v>278</v>
      </c>
      <c r="L12" s="2" t="s">
        <v>279</v>
      </c>
    </row>
    <row r="13" spans="1:12" ht="44.1" customHeight="1">
      <c r="A13" s="2" t="s">
        <v>311</v>
      </c>
      <c r="B13" s="2" t="s">
        <v>309</v>
      </c>
      <c r="C13" s="2" t="s">
        <v>281</v>
      </c>
      <c r="D13" s="2" t="s">
        <v>271</v>
      </c>
      <c r="E13" s="2" t="s">
        <v>304</v>
      </c>
      <c r="F13" s="2" t="s">
        <v>310</v>
      </c>
      <c r="G13" s="2" t="s">
        <v>274</v>
      </c>
      <c r="H13" s="2" t="s">
        <v>301</v>
      </c>
      <c r="I13" s="2" t="s">
        <v>276</v>
      </c>
      <c r="J13" s="6" t="s">
        <v>277</v>
      </c>
      <c r="K13" s="6" t="s">
        <v>305</v>
      </c>
      <c r="L13" s="2" t="s">
        <v>279</v>
      </c>
    </row>
    <row r="14" spans="1:12" ht="44.1" customHeight="1">
      <c r="A14" s="2" t="s">
        <v>312</v>
      </c>
      <c r="B14" s="2" t="s">
        <v>309</v>
      </c>
      <c r="C14" s="2" t="s">
        <v>281</v>
      </c>
      <c r="D14" s="2" t="s">
        <v>285</v>
      </c>
      <c r="E14" s="2" t="s">
        <v>304</v>
      </c>
      <c r="F14" s="2" t="s">
        <v>310</v>
      </c>
      <c r="G14" s="2" t="s">
        <v>274</v>
      </c>
      <c r="H14" s="2" t="s">
        <v>285</v>
      </c>
      <c r="I14" s="2" t="s">
        <v>286</v>
      </c>
      <c r="J14" s="6" t="s">
        <v>277</v>
      </c>
      <c r="K14" s="6" t="s">
        <v>305</v>
      </c>
      <c r="L14" s="2" t="s">
        <v>279</v>
      </c>
    </row>
    <row r="15" spans="1:12" ht="44.1" customHeight="1">
      <c r="A15" s="2" t="s">
        <v>313</v>
      </c>
      <c r="B15" s="2" t="s">
        <v>309</v>
      </c>
      <c r="C15" s="2" t="s">
        <v>291</v>
      </c>
      <c r="D15" s="2" t="s">
        <v>291</v>
      </c>
      <c r="E15" s="2" t="s">
        <v>304</v>
      </c>
      <c r="F15" s="2" t="s">
        <v>310</v>
      </c>
      <c r="G15" s="2" t="s">
        <v>274</v>
      </c>
      <c r="H15" s="2" t="s">
        <v>307</v>
      </c>
      <c r="I15" s="2" t="s">
        <v>293</v>
      </c>
      <c r="J15" s="6" t="s">
        <v>277</v>
      </c>
      <c r="K15" s="6" t="s">
        <v>305</v>
      </c>
      <c r="L15" s="2" t="s">
        <v>279</v>
      </c>
    </row>
    <row r="16" spans="1:12" ht="44.1" customHeight="1">
      <c r="A16" s="2" t="s">
        <v>314</v>
      </c>
      <c r="B16" s="2" t="s">
        <v>315</v>
      </c>
      <c r="C16" s="2" t="s">
        <v>316</v>
      </c>
      <c r="D16" s="2" t="s">
        <v>271</v>
      </c>
      <c r="E16" s="2" t="s">
        <v>317</v>
      </c>
      <c r="F16" s="2" t="s">
        <v>273</v>
      </c>
      <c r="G16" s="2" t="s">
        <v>274</v>
      </c>
      <c r="H16" s="2" t="s">
        <v>318</v>
      </c>
      <c r="I16" s="2" t="s">
        <v>276</v>
      </c>
      <c r="J16" s="6" t="s">
        <v>319</v>
      </c>
      <c r="K16" s="6" t="s">
        <v>29</v>
      </c>
      <c r="L16" s="2" t="s">
        <v>320</v>
      </c>
    </row>
    <row r="17" spans="1:12" ht="44.1" customHeight="1">
      <c r="A17" s="2" t="s">
        <v>321</v>
      </c>
      <c r="B17" s="2" t="s">
        <v>322</v>
      </c>
      <c r="C17" s="2" t="s">
        <v>323</v>
      </c>
      <c r="D17" s="2" t="s">
        <v>324</v>
      </c>
      <c r="E17" s="2" t="s">
        <v>304</v>
      </c>
      <c r="F17" s="2" t="s">
        <v>273</v>
      </c>
      <c r="G17" s="2" t="s">
        <v>325</v>
      </c>
      <c r="H17" s="2" t="s">
        <v>326</v>
      </c>
      <c r="I17" s="2" t="s">
        <v>327</v>
      </c>
      <c r="J17" s="6" t="s">
        <v>319</v>
      </c>
      <c r="K17" s="6" t="s">
        <v>29</v>
      </c>
      <c r="L17" s="2" t="s">
        <v>320</v>
      </c>
    </row>
    <row r="18" spans="1:12" ht="44.1" customHeight="1">
      <c r="A18" s="2" t="s">
        <v>328</v>
      </c>
      <c r="B18" s="2" t="s">
        <v>329</v>
      </c>
      <c r="C18" s="2" t="s">
        <v>330</v>
      </c>
      <c r="D18" s="2" t="s">
        <v>330</v>
      </c>
      <c r="E18" s="2" t="s">
        <v>272</v>
      </c>
      <c r="F18" s="2" t="s">
        <v>330</v>
      </c>
      <c r="G18" s="2" t="s">
        <v>330</v>
      </c>
      <c r="H18" s="2" t="s">
        <v>331</v>
      </c>
      <c r="I18" s="2" t="s">
        <v>330</v>
      </c>
      <c r="J18" s="6" t="s">
        <v>319</v>
      </c>
      <c r="K18" s="6" t="s">
        <v>29</v>
      </c>
      <c r="L18" s="2" t="s">
        <v>332</v>
      </c>
    </row>
    <row r="19" spans="1:12" ht="44.1" customHeight="1">
      <c r="A19" s="2" t="s">
        <v>333</v>
      </c>
      <c r="B19" s="2" t="s">
        <v>329</v>
      </c>
      <c r="C19" s="2" t="s">
        <v>334</v>
      </c>
      <c r="D19" s="2" t="s">
        <v>335</v>
      </c>
      <c r="E19" s="2" t="s">
        <v>304</v>
      </c>
      <c r="F19" s="2" t="s">
        <v>330</v>
      </c>
      <c r="G19" s="2" t="s">
        <v>330</v>
      </c>
      <c r="H19" s="2" t="s">
        <v>336</v>
      </c>
      <c r="I19" s="2" t="s">
        <v>337</v>
      </c>
      <c r="J19" s="6" t="s">
        <v>319</v>
      </c>
      <c r="K19" s="6" t="s">
        <v>29</v>
      </c>
      <c r="L19" s="2" t="s">
        <v>338</v>
      </c>
    </row>
  </sheetData>
  <mergeCells count="2">
    <mergeCell ref="A1:L1"/>
    <mergeCell ref="A2:L2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5"/>
  <sheetViews>
    <sheetView showGridLines="0" topLeftCell="A25" workbookViewId="0">
      <selection sqref="A1:I1"/>
    </sheetView>
  </sheetViews>
  <sheetFormatPr defaultRowHeight="14.25"/>
  <cols>
    <col min="1" max="1" width="12" customWidth="1"/>
    <col min="2" max="2" width="38" customWidth="1"/>
    <col min="3" max="3" width="48" customWidth="1"/>
    <col min="4" max="4" width="3" customWidth="1"/>
    <col min="5" max="5" width="20" customWidth="1"/>
    <col min="6" max="8" width="10" customWidth="1"/>
    <col min="9" max="9" width="12" customWidth="1"/>
  </cols>
  <sheetData>
    <row r="1" spans="1:9" ht="30" customHeight="1">
      <c r="A1" s="14" t="s">
        <v>339</v>
      </c>
      <c r="B1" s="14"/>
      <c r="C1" s="14"/>
      <c r="D1" s="14"/>
      <c r="E1" s="14"/>
      <c r="F1" s="14"/>
      <c r="G1" s="14"/>
      <c r="H1" s="14"/>
      <c r="I1" s="14"/>
    </row>
    <row r="2" spans="1:9" ht="32.1" customHeight="1">
      <c r="A2" s="15" t="s">
        <v>340</v>
      </c>
      <c r="B2" s="15"/>
      <c r="C2" s="15"/>
      <c r="D2" s="15"/>
      <c r="E2" s="15"/>
      <c r="F2" s="15"/>
      <c r="G2" s="15"/>
      <c r="H2" s="15"/>
      <c r="I2" s="15"/>
    </row>
    <row r="3" spans="1:9" ht="32.1" customHeight="1">
      <c r="A3" s="1" t="s">
        <v>341</v>
      </c>
      <c r="B3" s="1" t="s">
        <v>342</v>
      </c>
      <c r="C3" s="1" t="s">
        <v>343</v>
      </c>
      <c r="E3" s="1" t="s">
        <v>344</v>
      </c>
      <c r="F3" s="1" t="s">
        <v>345</v>
      </c>
      <c r="G3" s="1" t="s">
        <v>346</v>
      </c>
      <c r="H3" s="1" t="s">
        <v>347</v>
      </c>
      <c r="I3" s="1" t="s">
        <v>348</v>
      </c>
    </row>
    <row r="4" spans="1:9" ht="24" customHeight="1">
      <c r="A4" s="2" t="s">
        <v>349</v>
      </c>
      <c r="B4" s="2" t="s">
        <v>350</v>
      </c>
      <c r="C4" s="2" t="s">
        <v>351</v>
      </c>
      <c r="E4" s="2" t="s">
        <v>352</v>
      </c>
      <c r="F4" s="2" t="s">
        <v>353</v>
      </c>
      <c r="G4" s="2" t="s">
        <v>278</v>
      </c>
      <c r="H4" s="2" t="s">
        <v>354</v>
      </c>
      <c r="I4" s="7" t="s">
        <v>19</v>
      </c>
    </row>
    <row r="5" spans="1:9" ht="24" customHeight="1">
      <c r="A5" s="2" t="s">
        <v>353</v>
      </c>
      <c r="B5" s="2" t="s">
        <v>355</v>
      </c>
      <c r="C5" s="2" t="s">
        <v>356</v>
      </c>
      <c r="E5" s="2" t="s">
        <v>357</v>
      </c>
      <c r="F5" s="2" t="s">
        <v>353</v>
      </c>
      <c r="G5" s="2" t="s">
        <v>278</v>
      </c>
      <c r="H5" s="2" t="s">
        <v>358</v>
      </c>
      <c r="I5" s="7" t="s">
        <v>19</v>
      </c>
    </row>
    <row r="6" spans="1:9" ht="24" customHeight="1">
      <c r="A6" s="2" t="s">
        <v>359</v>
      </c>
      <c r="B6" s="2" t="s">
        <v>360</v>
      </c>
      <c r="C6" s="2" t="s">
        <v>361</v>
      </c>
      <c r="E6" s="2" t="s">
        <v>362</v>
      </c>
      <c r="F6" s="2" t="s">
        <v>353</v>
      </c>
      <c r="G6" s="2" t="s">
        <v>278</v>
      </c>
      <c r="H6" s="2" t="s">
        <v>363</v>
      </c>
      <c r="I6" s="7" t="s">
        <v>19</v>
      </c>
    </row>
    <row r="7" spans="1:9" ht="24" customHeight="1">
      <c r="A7" s="2" t="s">
        <v>364</v>
      </c>
      <c r="B7" s="2" t="s">
        <v>365</v>
      </c>
      <c r="C7" s="2" t="s">
        <v>366</v>
      </c>
      <c r="E7" s="2" t="s">
        <v>367</v>
      </c>
      <c r="F7" s="2" t="s">
        <v>353</v>
      </c>
      <c r="G7" s="2" t="s">
        <v>305</v>
      </c>
      <c r="H7" s="2" t="s">
        <v>354</v>
      </c>
      <c r="I7" s="7" t="s">
        <v>19</v>
      </c>
    </row>
    <row r="8" spans="1:9" ht="24" customHeight="1">
      <c r="E8" s="2" t="s">
        <v>368</v>
      </c>
      <c r="F8" s="2" t="s">
        <v>353</v>
      </c>
      <c r="G8" s="2" t="s">
        <v>305</v>
      </c>
      <c r="H8" s="2" t="s">
        <v>358</v>
      </c>
      <c r="I8" s="7" t="s">
        <v>19</v>
      </c>
    </row>
    <row r="9" spans="1:9" ht="24" customHeight="1">
      <c r="E9" s="2" t="s">
        <v>369</v>
      </c>
      <c r="F9" s="2" t="s">
        <v>353</v>
      </c>
      <c r="G9" s="2" t="s">
        <v>305</v>
      </c>
      <c r="H9" s="2" t="s">
        <v>363</v>
      </c>
      <c r="I9" s="7" t="s">
        <v>19</v>
      </c>
    </row>
    <row r="10" spans="1:9" ht="24" customHeight="1">
      <c r="A10" s="1" t="s">
        <v>370</v>
      </c>
      <c r="B10" s="1" t="s">
        <v>342</v>
      </c>
      <c r="C10" s="1" t="s">
        <v>343</v>
      </c>
      <c r="E10" s="2" t="s">
        <v>371</v>
      </c>
      <c r="F10" s="2" t="s">
        <v>353</v>
      </c>
      <c r="G10" s="2" t="s">
        <v>302</v>
      </c>
      <c r="H10" s="2" t="s">
        <v>354</v>
      </c>
      <c r="I10" s="7" t="s">
        <v>19</v>
      </c>
    </row>
    <row r="11" spans="1:9" ht="24" customHeight="1">
      <c r="A11" s="2" t="s">
        <v>288</v>
      </c>
      <c r="B11" s="2" t="s">
        <v>372</v>
      </c>
      <c r="C11" s="2" t="s">
        <v>373</v>
      </c>
      <c r="E11" s="2" t="s">
        <v>374</v>
      </c>
      <c r="F11" s="2" t="s">
        <v>353</v>
      </c>
      <c r="G11" s="2" t="s">
        <v>302</v>
      </c>
      <c r="H11" s="2" t="s">
        <v>358</v>
      </c>
      <c r="I11" s="7" t="s">
        <v>19</v>
      </c>
    </row>
    <row r="12" spans="1:9" ht="24" customHeight="1">
      <c r="A12" s="2" t="s">
        <v>278</v>
      </c>
      <c r="B12" s="2" t="s">
        <v>375</v>
      </c>
      <c r="C12" s="2" t="s">
        <v>376</v>
      </c>
      <c r="E12" s="2" t="s">
        <v>377</v>
      </c>
      <c r="F12" s="2" t="s">
        <v>353</v>
      </c>
      <c r="G12" s="2" t="s">
        <v>302</v>
      </c>
      <c r="H12" s="2" t="s">
        <v>363</v>
      </c>
      <c r="I12" s="8" t="s">
        <v>378</v>
      </c>
    </row>
    <row r="13" spans="1:9" ht="24" customHeight="1">
      <c r="A13" s="2" t="s">
        <v>305</v>
      </c>
      <c r="B13" s="2" t="s">
        <v>379</v>
      </c>
      <c r="C13" s="2" t="s">
        <v>380</v>
      </c>
      <c r="E13" s="2" t="s">
        <v>381</v>
      </c>
      <c r="F13" s="2" t="s">
        <v>353</v>
      </c>
      <c r="G13" s="2" t="s">
        <v>382</v>
      </c>
      <c r="H13" s="2" t="s">
        <v>354</v>
      </c>
      <c r="I13" s="7" t="s">
        <v>19</v>
      </c>
    </row>
    <row r="14" spans="1:9" ht="24" customHeight="1">
      <c r="A14" s="2" t="s">
        <v>302</v>
      </c>
      <c r="B14" s="2" t="s">
        <v>383</v>
      </c>
      <c r="C14" s="2" t="s">
        <v>384</v>
      </c>
      <c r="E14" s="2" t="s">
        <v>385</v>
      </c>
      <c r="F14" s="2" t="s">
        <v>353</v>
      </c>
      <c r="G14" s="2" t="s">
        <v>382</v>
      </c>
      <c r="H14" s="2" t="s">
        <v>358</v>
      </c>
      <c r="I14" s="8" t="s">
        <v>378</v>
      </c>
    </row>
    <row r="15" spans="1:9" ht="24" customHeight="1">
      <c r="A15" s="2" t="s">
        <v>382</v>
      </c>
      <c r="B15" s="2" t="s">
        <v>386</v>
      </c>
      <c r="C15" s="2" t="s">
        <v>387</v>
      </c>
      <c r="E15" s="2" t="s">
        <v>388</v>
      </c>
      <c r="F15" s="2" t="s">
        <v>353</v>
      </c>
      <c r="G15" s="2" t="s">
        <v>382</v>
      </c>
      <c r="H15" s="2" t="s">
        <v>363</v>
      </c>
      <c r="I15" s="9" t="s">
        <v>327</v>
      </c>
    </row>
    <row r="16" spans="1:9" ht="24" customHeight="1">
      <c r="E16" s="2" t="s">
        <v>389</v>
      </c>
      <c r="F16" s="2" t="s">
        <v>359</v>
      </c>
      <c r="G16" s="2" t="s">
        <v>278</v>
      </c>
      <c r="H16" s="2" t="s">
        <v>354</v>
      </c>
      <c r="I16" s="7" t="s">
        <v>19</v>
      </c>
    </row>
    <row r="17" spans="1:9" ht="24" customHeight="1">
      <c r="E17" s="2" t="s">
        <v>390</v>
      </c>
      <c r="F17" s="2" t="s">
        <v>359</v>
      </c>
      <c r="G17" s="2" t="s">
        <v>278</v>
      </c>
      <c r="H17" s="2" t="s">
        <v>358</v>
      </c>
      <c r="I17" s="7" t="s">
        <v>19</v>
      </c>
    </row>
    <row r="18" spans="1:9" ht="24" customHeight="1">
      <c r="A18" s="1" t="s">
        <v>391</v>
      </c>
      <c r="B18" s="1" t="s">
        <v>342</v>
      </c>
      <c r="C18" s="1" t="s">
        <v>343</v>
      </c>
      <c r="E18" s="2" t="s">
        <v>392</v>
      </c>
      <c r="F18" s="2" t="s">
        <v>359</v>
      </c>
      <c r="G18" s="2" t="s">
        <v>278</v>
      </c>
      <c r="H18" s="2" t="s">
        <v>363</v>
      </c>
      <c r="I18" s="7" t="s">
        <v>19</v>
      </c>
    </row>
    <row r="19" spans="1:9" ht="24" customHeight="1">
      <c r="A19" s="2" t="s">
        <v>393</v>
      </c>
      <c r="B19" s="2" t="s">
        <v>394</v>
      </c>
      <c r="C19" s="2" t="s">
        <v>351</v>
      </c>
      <c r="E19" s="2" t="s">
        <v>395</v>
      </c>
      <c r="F19" s="2" t="s">
        <v>359</v>
      </c>
      <c r="G19" s="2" t="s">
        <v>305</v>
      </c>
      <c r="H19" s="2" t="s">
        <v>354</v>
      </c>
      <c r="I19" s="7" t="s">
        <v>19</v>
      </c>
    </row>
    <row r="20" spans="1:9" ht="24" customHeight="1">
      <c r="A20" s="2" t="s">
        <v>354</v>
      </c>
      <c r="B20" s="2" t="s">
        <v>396</v>
      </c>
      <c r="C20" s="2" t="s">
        <v>397</v>
      </c>
      <c r="E20" s="2" t="s">
        <v>398</v>
      </c>
      <c r="F20" s="2" t="s">
        <v>359</v>
      </c>
      <c r="G20" s="2" t="s">
        <v>305</v>
      </c>
      <c r="H20" s="2" t="s">
        <v>358</v>
      </c>
      <c r="I20" s="7" t="s">
        <v>19</v>
      </c>
    </row>
    <row r="21" spans="1:9" ht="24" customHeight="1">
      <c r="A21" s="2" t="s">
        <v>358</v>
      </c>
      <c r="B21" s="2" t="s">
        <v>394</v>
      </c>
      <c r="C21" s="2" t="s">
        <v>399</v>
      </c>
      <c r="E21" s="2" t="s">
        <v>400</v>
      </c>
      <c r="F21" s="2" t="s">
        <v>359</v>
      </c>
      <c r="G21" s="2" t="s">
        <v>305</v>
      </c>
      <c r="H21" s="2" t="s">
        <v>363</v>
      </c>
      <c r="I21" s="8" t="s">
        <v>378</v>
      </c>
    </row>
    <row r="22" spans="1:9" ht="24" customHeight="1">
      <c r="A22" s="2" t="s">
        <v>363</v>
      </c>
      <c r="B22" s="2" t="s">
        <v>401</v>
      </c>
      <c r="C22" s="2" t="s">
        <v>402</v>
      </c>
      <c r="E22" s="2" t="s">
        <v>403</v>
      </c>
      <c r="F22" s="2" t="s">
        <v>359</v>
      </c>
      <c r="G22" s="2" t="s">
        <v>302</v>
      </c>
      <c r="H22" s="2" t="s">
        <v>354</v>
      </c>
      <c r="I22" s="7" t="s">
        <v>19</v>
      </c>
    </row>
    <row r="23" spans="1:9" ht="24" customHeight="1">
      <c r="E23" s="2" t="s">
        <v>404</v>
      </c>
      <c r="F23" s="2" t="s">
        <v>359</v>
      </c>
      <c r="G23" s="2" t="s">
        <v>302</v>
      </c>
      <c r="H23" s="2" t="s">
        <v>358</v>
      </c>
      <c r="I23" s="8" t="s">
        <v>378</v>
      </c>
    </row>
    <row r="24" spans="1:9" ht="24" customHeight="1">
      <c r="E24" s="2" t="s">
        <v>405</v>
      </c>
      <c r="F24" s="2" t="s">
        <v>359</v>
      </c>
      <c r="G24" s="2" t="s">
        <v>302</v>
      </c>
      <c r="H24" s="2" t="s">
        <v>363</v>
      </c>
      <c r="I24" s="9" t="s">
        <v>327</v>
      </c>
    </row>
    <row r="25" spans="1:9" ht="24" customHeight="1">
      <c r="E25" s="2" t="s">
        <v>406</v>
      </c>
      <c r="F25" s="2" t="s">
        <v>359</v>
      </c>
      <c r="G25" s="2" t="s">
        <v>382</v>
      </c>
      <c r="H25" s="2" t="s">
        <v>354</v>
      </c>
      <c r="I25" s="8" t="s">
        <v>378</v>
      </c>
    </row>
    <row r="26" spans="1:9" ht="24" customHeight="1">
      <c r="E26" s="2" t="s">
        <v>407</v>
      </c>
      <c r="F26" s="2" t="s">
        <v>359</v>
      </c>
      <c r="G26" s="2" t="s">
        <v>382</v>
      </c>
      <c r="H26" s="2" t="s">
        <v>358</v>
      </c>
      <c r="I26" s="9" t="s">
        <v>327</v>
      </c>
    </row>
    <row r="27" spans="1:9" ht="24" customHeight="1">
      <c r="E27" s="2" t="s">
        <v>408</v>
      </c>
      <c r="F27" s="2" t="s">
        <v>359</v>
      </c>
      <c r="G27" s="2" t="s">
        <v>382</v>
      </c>
      <c r="H27" s="2" t="s">
        <v>363</v>
      </c>
      <c r="I27" s="10" t="s">
        <v>347</v>
      </c>
    </row>
    <row r="28" spans="1:9" ht="24" customHeight="1">
      <c r="E28" s="2" t="s">
        <v>409</v>
      </c>
      <c r="F28" s="2" t="s">
        <v>364</v>
      </c>
      <c r="G28" s="2" t="s">
        <v>278</v>
      </c>
      <c r="H28" s="2" t="s">
        <v>354</v>
      </c>
      <c r="I28" s="7" t="s">
        <v>19</v>
      </c>
    </row>
    <row r="29" spans="1:9" ht="24" customHeight="1">
      <c r="E29" s="2" t="s">
        <v>410</v>
      </c>
      <c r="F29" s="2" t="s">
        <v>364</v>
      </c>
      <c r="G29" s="2" t="s">
        <v>278</v>
      </c>
      <c r="H29" s="2" t="s">
        <v>358</v>
      </c>
      <c r="I29" s="7" t="s">
        <v>19</v>
      </c>
    </row>
    <row r="30" spans="1:9" ht="24" customHeight="1">
      <c r="E30" s="2" t="s">
        <v>411</v>
      </c>
      <c r="F30" s="2" t="s">
        <v>364</v>
      </c>
      <c r="G30" s="2" t="s">
        <v>278</v>
      </c>
      <c r="H30" s="2" t="s">
        <v>363</v>
      </c>
      <c r="I30" s="8" t="s">
        <v>378</v>
      </c>
    </row>
    <row r="31" spans="1:9" ht="24" customHeight="1">
      <c r="E31" s="2" t="s">
        <v>412</v>
      </c>
      <c r="F31" s="2" t="s">
        <v>364</v>
      </c>
      <c r="G31" s="2" t="s">
        <v>305</v>
      </c>
      <c r="H31" s="2" t="s">
        <v>354</v>
      </c>
      <c r="I31" s="7" t="s">
        <v>19</v>
      </c>
    </row>
    <row r="32" spans="1:9" ht="24" customHeight="1">
      <c r="E32" s="2" t="s">
        <v>413</v>
      </c>
      <c r="F32" s="2" t="s">
        <v>364</v>
      </c>
      <c r="G32" s="2" t="s">
        <v>305</v>
      </c>
      <c r="H32" s="2" t="s">
        <v>358</v>
      </c>
      <c r="I32" s="8" t="s">
        <v>378</v>
      </c>
    </row>
    <row r="33" spans="5:9" ht="24" customHeight="1">
      <c r="E33" s="2" t="s">
        <v>414</v>
      </c>
      <c r="F33" s="2" t="s">
        <v>364</v>
      </c>
      <c r="G33" s="2" t="s">
        <v>305</v>
      </c>
      <c r="H33" s="2" t="s">
        <v>363</v>
      </c>
      <c r="I33" s="9" t="s">
        <v>327</v>
      </c>
    </row>
    <row r="34" spans="5:9" ht="24" customHeight="1">
      <c r="E34" s="2" t="s">
        <v>415</v>
      </c>
      <c r="F34" s="2" t="s">
        <v>364</v>
      </c>
      <c r="G34" s="2" t="s">
        <v>302</v>
      </c>
      <c r="H34" s="2" t="s">
        <v>354</v>
      </c>
      <c r="I34" s="8" t="s">
        <v>378</v>
      </c>
    </row>
    <row r="35" spans="5:9" ht="24" customHeight="1">
      <c r="E35" s="2" t="s">
        <v>416</v>
      </c>
      <c r="F35" s="2" t="s">
        <v>364</v>
      </c>
      <c r="G35" s="2" t="s">
        <v>302</v>
      </c>
      <c r="H35" s="2" t="s">
        <v>358</v>
      </c>
      <c r="I35" s="9" t="s">
        <v>327</v>
      </c>
    </row>
    <row r="36" spans="5:9" ht="24" customHeight="1">
      <c r="E36" s="2" t="s">
        <v>417</v>
      </c>
      <c r="F36" s="2" t="s">
        <v>364</v>
      </c>
      <c r="G36" s="2" t="s">
        <v>302</v>
      </c>
      <c r="H36" s="2" t="s">
        <v>363</v>
      </c>
      <c r="I36" s="10" t="s">
        <v>347</v>
      </c>
    </row>
    <row r="37" spans="5:9" ht="24" customHeight="1">
      <c r="E37" s="2" t="s">
        <v>418</v>
      </c>
      <c r="F37" s="2" t="s">
        <v>364</v>
      </c>
      <c r="G37" s="2" t="s">
        <v>382</v>
      </c>
      <c r="H37" s="2" t="s">
        <v>354</v>
      </c>
      <c r="I37" s="9" t="s">
        <v>327</v>
      </c>
    </row>
    <row r="38" spans="5:9" ht="24" customHeight="1">
      <c r="E38" s="2" t="s">
        <v>419</v>
      </c>
      <c r="F38" s="2" t="s">
        <v>364</v>
      </c>
      <c r="G38" s="2" t="s">
        <v>382</v>
      </c>
      <c r="H38" s="2" t="s">
        <v>358</v>
      </c>
      <c r="I38" s="10" t="s">
        <v>347</v>
      </c>
    </row>
    <row r="39" spans="5:9" ht="24" customHeight="1">
      <c r="E39" s="2" t="s">
        <v>420</v>
      </c>
      <c r="F39" s="2" t="s">
        <v>364</v>
      </c>
      <c r="G39" s="2" t="s">
        <v>382</v>
      </c>
      <c r="H39" s="2" t="s">
        <v>363</v>
      </c>
      <c r="I39" s="11" t="s">
        <v>421</v>
      </c>
    </row>
    <row r="42" spans="5:9" ht="32.1" customHeight="1">
      <c r="E42" s="16" t="s">
        <v>422</v>
      </c>
      <c r="F42" s="16"/>
      <c r="G42" s="16"/>
      <c r="H42" s="16"/>
      <c r="I42" s="16"/>
    </row>
    <row r="43" spans="5:9" ht="36" customHeight="1">
      <c r="E43" s="3" t="s">
        <v>423</v>
      </c>
      <c r="F43" s="17" t="s">
        <v>424</v>
      </c>
      <c r="G43" s="17"/>
      <c r="H43" s="17"/>
      <c r="I43" s="17"/>
    </row>
    <row r="44" spans="5:9" ht="36" customHeight="1">
      <c r="E44" s="3" t="s">
        <v>425</v>
      </c>
      <c r="F44" s="17" t="s">
        <v>426</v>
      </c>
      <c r="G44" s="17"/>
      <c r="H44" s="17"/>
      <c r="I44" s="17"/>
    </row>
    <row r="45" spans="5:9" ht="36" customHeight="1">
      <c r="E45" s="3" t="s">
        <v>61</v>
      </c>
      <c r="F45" s="17" t="s">
        <v>427</v>
      </c>
      <c r="G45" s="17"/>
      <c r="H45" s="17"/>
      <c r="I45" s="17"/>
    </row>
  </sheetData>
  <mergeCells count="6">
    <mergeCell ref="F45:I45"/>
    <mergeCell ref="A1:I1"/>
    <mergeCell ref="A2:I2"/>
    <mergeCell ref="E42:I42"/>
    <mergeCell ref="F43:I43"/>
    <mergeCell ref="F44:I44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48"/>
  <sheetViews>
    <sheetView showGridLines="0" tabSelected="1" topLeftCell="M20" workbookViewId="0">
      <selection sqref="A1:V1"/>
    </sheetView>
  </sheetViews>
  <sheetFormatPr defaultRowHeight="14.25"/>
  <cols>
    <col min="1" max="1" width="14" customWidth="1"/>
    <col min="2" max="2" width="12" customWidth="1"/>
    <col min="3" max="3" width="24" customWidth="1"/>
    <col min="4" max="4" width="30" customWidth="1"/>
    <col min="5" max="5" width="10" customWidth="1"/>
    <col min="6" max="6" width="13" customWidth="1"/>
    <col min="7" max="7" width="42" customWidth="1"/>
    <col min="8" max="8" width="8" customWidth="1"/>
    <col min="9" max="9" width="48" customWidth="1"/>
    <col min="10" max="10" width="8" customWidth="1"/>
    <col min="11" max="11" width="48" customWidth="1"/>
    <col min="12" max="12" width="8" customWidth="1"/>
    <col min="13" max="13" width="48" customWidth="1"/>
    <col min="14" max="14" width="12" customWidth="1"/>
    <col min="15" max="15" width="13" customWidth="1"/>
    <col min="16" max="16" width="48" customWidth="1"/>
    <col min="17" max="17" width="12" customWidth="1"/>
    <col min="18" max="18" width="42" customWidth="1"/>
    <col min="19" max="19" width="10" customWidth="1"/>
    <col min="20" max="20" width="16" customWidth="1"/>
    <col min="21" max="21" width="14" customWidth="1"/>
    <col min="22" max="22" width="34" customWidth="1"/>
  </cols>
  <sheetData>
    <row r="1" spans="1:22" ht="30" customHeight="1">
      <c r="A1" s="19" t="s">
        <v>728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spans="1:22" ht="32.1" customHeight="1">
      <c r="A2" s="15" t="s">
        <v>428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ht="32.1" customHeight="1">
      <c r="A3" s="1" t="s">
        <v>429</v>
      </c>
      <c r="B3" s="1" t="s">
        <v>14</v>
      </c>
      <c r="C3" s="1" t="s">
        <v>125</v>
      </c>
      <c r="D3" s="1" t="s">
        <v>430</v>
      </c>
      <c r="E3" s="1" t="s">
        <v>431</v>
      </c>
      <c r="F3" s="1" t="s">
        <v>432</v>
      </c>
      <c r="G3" s="1" t="s">
        <v>433</v>
      </c>
      <c r="H3" s="1" t="s">
        <v>345</v>
      </c>
      <c r="I3" s="1" t="s">
        <v>434</v>
      </c>
      <c r="J3" s="1" t="s">
        <v>346</v>
      </c>
      <c r="K3" s="1" t="s">
        <v>435</v>
      </c>
      <c r="L3" s="1" t="s">
        <v>347</v>
      </c>
      <c r="M3" s="1" t="s">
        <v>436</v>
      </c>
      <c r="N3" s="1" t="s">
        <v>437</v>
      </c>
      <c r="O3" s="1" t="s">
        <v>438</v>
      </c>
      <c r="P3" s="1" t="s">
        <v>439</v>
      </c>
      <c r="Q3" s="1" t="s">
        <v>440</v>
      </c>
      <c r="R3" s="1" t="s">
        <v>441</v>
      </c>
      <c r="S3" s="1" t="s">
        <v>442</v>
      </c>
      <c r="T3" s="1" t="s">
        <v>443</v>
      </c>
      <c r="U3" s="1" t="s">
        <v>444</v>
      </c>
      <c r="V3" s="1" t="s">
        <v>186</v>
      </c>
    </row>
    <row r="4" spans="1:22" ht="63.95" customHeight="1">
      <c r="A4" s="2" t="s">
        <v>445</v>
      </c>
      <c r="B4" s="6" t="s">
        <v>36</v>
      </c>
      <c r="C4" s="2" t="s">
        <v>188</v>
      </c>
      <c r="D4" s="2" t="s">
        <v>446</v>
      </c>
      <c r="E4" s="2" t="s">
        <v>447</v>
      </c>
      <c r="F4" s="2" t="s">
        <v>268</v>
      </c>
      <c r="G4" s="2" t="s">
        <v>448</v>
      </c>
      <c r="H4" s="6" t="s">
        <v>364</v>
      </c>
      <c r="I4" s="2" t="s">
        <v>449</v>
      </c>
      <c r="J4" s="6" t="s">
        <v>278</v>
      </c>
      <c r="K4" s="2" t="s">
        <v>450</v>
      </c>
      <c r="L4" s="6" t="s">
        <v>358</v>
      </c>
      <c r="M4" s="2" t="s">
        <v>451</v>
      </c>
      <c r="N4" s="7" t="str">
        <f>VLOOKUP(H4&amp;J4&amp;L4,'06_SEC准则'!$E$4:$I$39,5,FALSE)</f>
        <v>QM</v>
      </c>
      <c r="O4" s="2" t="s">
        <v>452</v>
      </c>
      <c r="P4" s="2" t="s">
        <v>453</v>
      </c>
      <c r="Q4" s="12">
        <v>100</v>
      </c>
      <c r="R4" s="2" t="s">
        <v>454</v>
      </c>
      <c r="S4" s="13">
        <f t="shared" ref="S4:S48" si="0">IF(N4="QM",0,IF(N4="A",1,IF(N4="B",2,IF(N4="C",3,IF(N4="D",4,"")))))</f>
        <v>0</v>
      </c>
      <c r="T4" s="2" t="s">
        <v>455</v>
      </c>
      <c r="U4" s="2" t="s">
        <v>29</v>
      </c>
      <c r="V4" s="2"/>
    </row>
    <row r="5" spans="1:22" ht="63.95" customHeight="1">
      <c r="A5" s="2" t="s">
        <v>456</v>
      </c>
      <c r="B5" s="6" t="s">
        <v>36</v>
      </c>
      <c r="C5" s="2" t="s">
        <v>188</v>
      </c>
      <c r="D5" s="2" t="s">
        <v>446</v>
      </c>
      <c r="E5" s="2" t="s">
        <v>447</v>
      </c>
      <c r="F5" s="2" t="s">
        <v>280</v>
      </c>
      <c r="G5" s="2" t="s">
        <v>457</v>
      </c>
      <c r="H5" s="6" t="s">
        <v>364</v>
      </c>
      <c r="I5" s="2" t="s">
        <v>449</v>
      </c>
      <c r="J5" s="6" t="s">
        <v>278</v>
      </c>
      <c r="K5" s="2" t="s">
        <v>458</v>
      </c>
      <c r="L5" s="6" t="s">
        <v>358</v>
      </c>
      <c r="M5" s="2" t="s">
        <v>451</v>
      </c>
      <c r="N5" s="7" t="str">
        <f>VLOOKUP(H5&amp;J5&amp;L5,'06_SEC准则'!$E$4:$I$39,5,FALSE)</f>
        <v>QM</v>
      </c>
      <c r="O5" s="2" t="s">
        <v>452</v>
      </c>
      <c r="P5" s="2" t="s">
        <v>453</v>
      </c>
      <c r="Q5" s="12">
        <v>100</v>
      </c>
      <c r="R5" s="2" t="s">
        <v>454</v>
      </c>
      <c r="S5" s="13">
        <f t="shared" si="0"/>
        <v>0</v>
      </c>
      <c r="T5" s="2" t="s">
        <v>455</v>
      </c>
      <c r="U5" s="2" t="s">
        <v>29</v>
      </c>
      <c r="V5" s="2"/>
    </row>
    <row r="6" spans="1:22" ht="63.95" customHeight="1">
      <c r="A6" s="2" t="s">
        <v>459</v>
      </c>
      <c r="B6" s="6" t="s">
        <v>36</v>
      </c>
      <c r="C6" s="2" t="s">
        <v>188</v>
      </c>
      <c r="D6" s="2" t="s">
        <v>446</v>
      </c>
      <c r="E6" s="2" t="s">
        <v>447</v>
      </c>
      <c r="F6" s="2" t="s">
        <v>300</v>
      </c>
      <c r="G6" s="2" t="s">
        <v>460</v>
      </c>
      <c r="H6" s="6" t="s">
        <v>364</v>
      </c>
      <c r="I6" s="2" t="s">
        <v>461</v>
      </c>
      <c r="J6" s="6" t="s">
        <v>302</v>
      </c>
      <c r="K6" s="2" t="s">
        <v>462</v>
      </c>
      <c r="L6" s="6" t="s">
        <v>363</v>
      </c>
      <c r="M6" s="2" t="s">
        <v>463</v>
      </c>
      <c r="N6" s="10" t="str">
        <f>VLOOKUP(H6&amp;J6&amp;L6,'06_SEC准则'!$E$4:$I$39,5,FALSE)</f>
        <v>C</v>
      </c>
      <c r="O6" s="2" t="s">
        <v>452</v>
      </c>
      <c r="P6" s="2" t="s">
        <v>453</v>
      </c>
      <c r="Q6" s="12">
        <v>100</v>
      </c>
      <c r="R6" s="2" t="s">
        <v>454</v>
      </c>
      <c r="S6" s="13">
        <f t="shared" si="0"/>
        <v>3</v>
      </c>
      <c r="T6" s="2" t="s">
        <v>455</v>
      </c>
      <c r="U6" s="2" t="s">
        <v>29</v>
      </c>
      <c r="V6" s="2"/>
    </row>
    <row r="7" spans="1:22" ht="63.95" customHeight="1">
      <c r="A7" s="2" t="s">
        <v>464</v>
      </c>
      <c r="B7" s="6" t="s">
        <v>36</v>
      </c>
      <c r="C7" s="2" t="s">
        <v>188</v>
      </c>
      <c r="D7" s="2" t="s">
        <v>446</v>
      </c>
      <c r="E7" s="2" t="s">
        <v>447</v>
      </c>
      <c r="F7" s="2" t="s">
        <v>303</v>
      </c>
      <c r="G7" s="2" t="s">
        <v>465</v>
      </c>
      <c r="H7" s="6" t="s">
        <v>359</v>
      </c>
      <c r="I7" s="2" t="s">
        <v>466</v>
      </c>
      <c r="J7" s="6" t="s">
        <v>305</v>
      </c>
      <c r="K7" s="2" t="s">
        <v>467</v>
      </c>
      <c r="L7" s="6" t="s">
        <v>358</v>
      </c>
      <c r="M7" s="2" t="s">
        <v>451</v>
      </c>
      <c r="N7" s="7" t="str">
        <f>VLOOKUP(H7&amp;J7&amp;L7,'06_SEC准则'!$E$4:$I$39,5,FALSE)</f>
        <v>QM</v>
      </c>
      <c r="O7" s="2" t="s">
        <v>452</v>
      </c>
      <c r="P7" s="2" t="s">
        <v>453</v>
      </c>
      <c r="Q7" s="12">
        <v>100</v>
      </c>
      <c r="R7" s="2" t="s">
        <v>454</v>
      </c>
      <c r="S7" s="13">
        <f t="shared" si="0"/>
        <v>0</v>
      </c>
      <c r="T7" s="2" t="s">
        <v>455</v>
      </c>
      <c r="U7" s="2" t="s">
        <v>29</v>
      </c>
      <c r="V7" s="2"/>
    </row>
    <row r="8" spans="1:22" ht="63.95" customHeight="1">
      <c r="A8" s="2" t="s">
        <v>468</v>
      </c>
      <c r="B8" s="6" t="s">
        <v>36</v>
      </c>
      <c r="C8" s="2" t="s">
        <v>188</v>
      </c>
      <c r="D8" s="2" t="s">
        <v>446</v>
      </c>
      <c r="E8" s="2" t="s">
        <v>447</v>
      </c>
      <c r="F8" s="2" t="s">
        <v>306</v>
      </c>
      <c r="G8" s="2" t="s">
        <v>469</v>
      </c>
      <c r="H8" s="6" t="s">
        <v>359</v>
      </c>
      <c r="I8" s="2" t="s">
        <v>466</v>
      </c>
      <c r="J8" s="6" t="s">
        <v>305</v>
      </c>
      <c r="K8" s="2" t="s">
        <v>470</v>
      </c>
      <c r="L8" s="6" t="s">
        <v>358</v>
      </c>
      <c r="M8" s="2" t="s">
        <v>451</v>
      </c>
      <c r="N8" s="7" t="str">
        <f>VLOOKUP(H8&amp;J8&amp;L8,'06_SEC准则'!$E$4:$I$39,5,FALSE)</f>
        <v>QM</v>
      </c>
      <c r="O8" s="2" t="s">
        <v>452</v>
      </c>
      <c r="P8" s="2" t="s">
        <v>453</v>
      </c>
      <c r="Q8" s="12">
        <v>100</v>
      </c>
      <c r="R8" s="2" t="s">
        <v>454</v>
      </c>
      <c r="S8" s="13">
        <f t="shared" si="0"/>
        <v>0</v>
      </c>
      <c r="T8" s="2" t="s">
        <v>455</v>
      </c>
      <c r="U8" s="2" t="s">
        <v>29</v>
      </c>
      <c r="V8" s="2"/>
    </row>
    <row r="9" spans="1:22" ht="63.95" customHeight="1">
      <c r="A9" s="2" t="s">
        <v>471</v>
      </c>
      <c r="B9" s="6" t="s">
        <v>36</v>
      </c>
      <c r="C9" s="2" t="s">
        <v>188</v>
      </c>
      <c r="D9" s="2" t="s">
        <v>446</v>
      </c>
      <c r="E9" s="2" t="s">
        <v>447</v>
      </c>
      <c r="F9" s="2" t="s">
        <v>308</v>
      </c>
      <c r="G9" s="2" t="s">
        <v>472</v>
      </c>
      <c r="H9" s="6" t="s">
        <v>364</v>
      </c>
      <c r="I9" s="2" t="s">
        <v>473</v>
      </c>
      <c r="J9" s="6" t="s">
        <v>278</v>
      </c>
      <c r="K9" s="2" t="s">
        <v>474</v>
      </c>
      <c r="L9" s="6" t="s">
        <v>358</v>
      </c>
      <c r="M9" s="2" t="s">
        <v>451</v>
      </c>
      <c r="N9" s="7" t="str">
        <f>VLOOKUP(H9&amp;J9&amp;L9,'06_SEC准则'!$E$4:$I$39,5,FALSE)</f>
        <v>QM</v>
      </c>
      <c r="O9" s="2" t="s">
        <v>452</v>
      </c>
      <c r="P9" s="2" t="s">
        <v>453</v>
      </c>
      <c r="Q9" s="12">
        <v>100</v>
      </c>
      <c r="R9" s="2" t="s">
        <v>454</v>
      </c>
      <c r="S9" s="13">
        <f t="shared" si="0"/>
        <v>0</v>
      </c>
      <c r="T9" s="2" t="s">
        <v>455</v>
      </c>
      <c r="U9" s="2" t="s">
        <v>29</v>
      </c>
      <c r="V9" s="2"/>
    </row>
    <row r="10" spans="1:22" ht="63.95" customHeight="1">
      <c r="A10" s="2" t="s">
        <v>475</v>
      </c>
      <c r="B10" s="6" t="s">
        <v>36</v>
      </c>
      <c r="C10" s="2" t="s">
        <v>188</v>
      </c>
      <c r="D10" s="2" t="s">
        <v>446</v>
      </c>
      <c r="E10" s="2" t="s">
        <v>447</v>
      </c>
      <c r="F10" s="2" t="s">
        <v>311</v>
      </c>
      <c r="G10" s="2" t="s">
        <v>476</v>
      </c>
      <c r="H10" s="6" t="s">
        <v>364</v>
      </c>
      <c r="I10" s="2" t="s">
        <v>473</v>
      </c>
      <c r="J10" s="6" t="s">
        <v>305</v>
      </c>
      <c r="K10" s="2" t="s">
        <v>477</v>
      </c>
      <c r="L10" s="6" t="s">
        <v>358</v>
      </c>
      <c r="M10" s="2" t="s">
        <v>451</v>
      </c>
      <c r="N10" s="8" t="str">
        <f>VLOOKUP(H10&amp;J10&amp;L10,'06_SEC准则'!$E$4:$I$39,5,FALSE)</f>
        <v>A</v>
      </c>
      <c r="O10" s="2" t="s">
        <v>452</v>
      </c>
      <c r="P10" s="2" t="s">
        <v>453</v>
      </c>
      <c r="Q10" s="12">
        <v>100</v>
      </c>
      <c r="R10" s="2" t="s">
        <v>454</v>
      </c>
      <c r="S10" s="13">
        <f t="shared" si="0"/>
        <v>1</v>
      </c>
      <c r="T10" s="2" t="s">
        <v>455</v>
      </c>
      <c r="U10" s="2" t="s">
        <v>29</v>
      </c>
      <c r="V10" s="2"/>
    </row>
    <row r="11" spans="1:22" ht="63.95" customHeight="1">
      <c r="A11" s="2" t="s">
        <v>478</v>
      </c>
      <c r="B11" s="6" t="s">
        <v>36</v>
      </c>
      <c r="C11" s="2" t="s">
        <v>188</v>
      </c>
      <c r="D11" s="2" t="s">
        <v>446</v>
      </c>
      <c r="E11" s="2" t="s">
        <v>447</v>
      </c>
      <c r="F11" s="2" t="s">
        <v>312</v>
      </c>
      <c r="G11" s="2" t="s">
        <v>479</v>
      </c>
      <c r="H11" s="6" t="s">
        <v>359</v>
      </c>
      <c r="I11" s="2" t="s">
        <v>480</v>
      </c>
      <c r="J11" s="6" t="s">
        <v>305</v>
      </c>
      <c r="K11" s="2" t="s">
        <v>481</v>
      </c>
      <c r="L11" s="6" t="s">
        <v>358</v>
      </c>
      <c r="M11" s="2" t="s">
        <v>451</v>
      </c>
      <c r="N11" s="7" t="str">
        <f>VLOOKUP(H11&amp;J11&amp;L11,'06_SEC准则'!$E$4:$I$39,5,FALSE)</f>
        <v>QM</v>
      </c>
      <c r="O11" s="2" t="s">
        <v>452</v>
      </c>
      <c r="P11" s="2" t="s">
        <v>453</v>
      </c>
      <c r="Q11" s="12">
        <v>100</v>
      </c>
      <c r="R11" s="2" t="s">
        <v>454</v>
      </c>
      <c r="S11" s="13">
        <f t="shared" si="0"/>
        <v>0</v>
      </c>
      <c r="T11" s="2" t="s">
        <v>455</v>
      </c>
      <c r="U11" s="2" t="s">
        <v>29</v>
      </c>
      <c r="V11" s="2"/>
    </row>
    <row r="12" spans="1:22" ht="63.95" customHeight="1">
      <c r="A12" s="2" t="s">
        <v>482</v>
      </c>
      <c r="B12" s="6" t="s">
        <v>36</v>
      </c>
      <c r="C12" s="2" t="s">
        <v>188</v>
      </c>
      <c r="D12" s="2" t="s">
        <v>446</v>
      </c>
      <c r="E12" s="2" t="s">
        <v>447</v>
      </c>
      <c r="F12" s="2" t="s">
        <v>313</v>
      </c>
      <c r="G12" s="2" t="s">
        <v>483</v>
      </c>
      <c r="H12" s="6" t="s">
        <v>359</v>
      </c>
      <c r="I12" s="2" t="s">
        <v>480</v>
      </c>
      <c r="J12" s="6" t="s">
        <v>305</v>
      </c>
      <c r="K12" s="2" t="s">
        <v>484</v>
      </c>
      <c r="L12" s="6" t="s">
        <v>358</v>
      </c>
      <c r="M12" s="2" t="s">
        <v>451</v>
      </c>
      <c r="N12" s="7" t="str">
        <f>VLOOKUP(H12&amp;J12&amp;L12,'06_SEC准则'!$E$4:$I$39,5,FALSE)</f>
        <v>QM</v>
      </c>
      <c r="O12" s="2" t="s">
        <v>452</v>
      </c>
      <c r="P12" s="2" t="s">
        <v>453</v>
      </c>
      <c r="Q12" s="12">
        <v>100</v>
      </c>
      <c r="R12" s="2" t="s">
        <v>454</v>
      </c>
      <c r="S12" s="13">
        <f t="shared" si="0"/>
        <v>0</v>
      </c>
      <c r="T12" s="2" t="s">
        <v>455</v>
      </c>
      <c r="U12" s="2" t="s">
        <v>29</v>
      </c>
      <c r="V12" s="2"/>
    </row>
    <row r="13" spans="1:22" ht="63.95" customHeight="1">
      <c r="A13" s="2" t="s">
        <v>485</v>
      </c>
      <c r="B13" s="6" t="s">
        <v>36</v>
      </c>
      <c r="C13" s="2" t="s">
        <v>195</v>
      </c>
      <c r="D13" s="2" t="s">
        <v>486</v>
      </c>
      <c r="E13" s="2" t="s">
        <v>487</v>
      </c>
      <c r="F13" s="2" t="s">
        <v>268</v>
      </c>
      <c r="G13" s="2" t="s">
        <v>488</v>
      </c>
      <c r="H13" s="6" t="s">
        <v>359</v>
      </c>
      <c r="I13" s="2" t="s">
        <v>489</v>
      </c>
      <c r="J13" s="6" t="s">
        <v>302</v>
      </c>
      <c r="K13" s="2" t="s">
        <v>490</v>
      </c>
      <c r="L13" s="6" t="s">
        <v>358</v>
      </c>
      <c r="M13" s="2" t="s">
        <v>451</v>
      </c>
      <c r="N13" s="8" t="str">
        <f>VLOOKUP(H13&amp;J13&amp;L13,'06_SEC准则'!$E$4:$I$39,5,FALSE)</f>
        <v>A</v>
      </c>
      <c r="O13" s="2" t="s">
        <v>491</v>
      </c>
      <c r="P13" s="2" t="s">
        <v>453</v>
      </c>
      <c r="Q13" s="12">
        <v>500</v>
      </c>
      <c r="R13" s="2" t="s">
        <v>454</v>
      </c>
      <c r="S13" s="13">
        <f t="shared" si="0"/>
        <v>1</v>
      </c>
      <c r="T13" s="2" t="s">
        <v>455</v>
      </c>
      <c r="U13" s="2" t="s">
        <v>29</v>
      </c>
      <c r="V13" s="2"/>
    </row>
    <row r="14" spans="1:22" ht="63.95" customHeight="1">
      <c r="A14" s="2" t="s">
        <v>492</v>
      </c>
      <c r="B14" s="6" t="s">
        <v>36</v>
      </c>
      <c r="C14" s="2" t="s">
        <v>195</v>
      </c>
      <c r="D14" s="2" t="s">
        <v>486</v>
      </c>
      <c r="E14" s="2" t="s">
        <v>487</v>
      </c>
      <c r="F14" s="2" t="s">
        <v>280</v>
      </c>
      <c r="G14" s="2" t="s">
        <v>493</v>
      </c>
      <c r="H14" s="6" t="s">
        <v>359</v>
      </c>
      <c r="I14" s="2" t="s">
        <v>489</v>
      </c>
      <c r="J14" s="6" t="s">
        <v>305</v>
      </c>
      <c r="K14" s="2" t="s">
        <v>494</v>
      </c>
      <c r="L14" s="6" t="s">
        <v>358</v>
      </c>
      <c r="M14" s="2" t="s">
        <v>451</v>
      </c>
      <c r="N14" s="7" t="str">
        <f>VLOOKUP(H14&amp;J14&amp;L14,'06_SEC准则'!$E$4:$I$39,5,FALSE)</f>
        <v>QM</v>
      </c>
      <c r="O14" s="2" t="s">
        <v>491</v>
      </c>
      <c r="P14" s="2" t="s">
        <v>453</v>
      </c>
      <c r="Q14" s="12">
        <v>500</v>
      </c>
      <c r="R14" s="2" t="s">
        <v>454</v>
      </c>
      <c r="S14" s="13">
        <f t="shared" si="0"/>
        <v>0</v>
      </c>
      <c r="T14" s="2" t="s">
        <v>455</v>
      </c>
      <c r="U14" s="2" t="s">
        <v>29</v>
      </c>
      <c r="V14" s="2"/>
    </row>
    <row r="15" spans="1:22" ht="63.95" customHeight="1">
      <c r="A15" s="2" t="s">
        <v>495</v>
      </c>
      <c r="B15" s="6" t="s">
        <v>36</v>
      </c>
      <c r="C15" s="2" t="s">
        <v>195</v>
      </c>
      <c r="D15" s="2" t="s">
        <v>486</v>
      </c>
      <c r="E15" s="2" t="s">
        <v>487</v>
      </c>
      <c r="F15" s="2" t="s">
        <v>300</v>
      </c>
      <c r="G15" s="2" t="s">
        <v>496</v>
      </c>
      <c r="H15" s="6" t="s">
        <v>359</v>
      </c>
      <c r="I15" s="2" t="s">
        <v>497</v>
      </c>
      <c r="J15" s="6" t="s">
        <v>302</v>
      </c>
      <c r="K15" s="2" t="s">
        <v>462</v>
      </c>
      <c r="L15" s="6" t="s">
        <v>354</v>
      </c>
      <c r="M15" s="2" t="s">
        <v>498</v>
      </c>
      <c r="N15" s="7" t="str">
        <f>VLOOKUP(H15&amp;J15&amp;L15,'06_SEC准则'!$E$4:$I$39,5,FALSE)</f>
        <v>QM</v>
      </c>
      <c r="O15" s="2" t="s">
        <v>491</v>
      </c>
      <c r="P15" s="2" t="s">
        <v>453</v>
      </c>
      <c r="Q15" s="12">
        <v>500</v>
      </c>
      <c r="R15" s="2" t="s">
        <v>454</v>
      </c>
      <c r="S15" s="13">
        <f t="shared" si="0"/>
        <v>0</v>
      </c>
      <c r="T15" s="2" t="s">
        <v>455</v>
      </c>
      <c r="U15" s="2" t="s">
        <v>29</v>
      </c>
      <c r="V15" s="2"/>
    </row>
    <row r="16" spans="1:22" ht="63.95" customHeight="1">
      <c r="A16" s="2" t="s">
        <v>499</v>
      </c>
      <c r="B16" s="6" t="s">
        <v>36</v>
      </c>
      <c r="C16" s="2" t="s">
        <v>195</v>
      </c>
      <c r="D16" s="2" t="s">
        <v>486</v>
      </c>
      <c r="E16" s="2" t="s">
        <v>487</v>
      </c>
      <c r="F16" s="2" t="s">
        <v>303</v>
      </c>
      <c r="G16" s="2" t="s">
        <v>500</v>
      </c>
      <c r="H16" s="6" t="s">
        <v>353</v>
      </c>
      <c r="I16" s="2" t="s">
        <v>501</v>
      </c>
      <c r="J16" s="6" t="s">
        <v>302</v>
      </c>
      <c r="K16" s="2" t="s">
        <v>502</v>
      </c>
      <c r="L16" s="6" t="s">
        <v>354</v>
      </c>
      <c r="M16" s="2" t="s">
        <v>498</v>
      </c>
      <c r="N16" s="7" t="str">
        <f>VLOOKUP(H16&amp;J16&amp;L16,'06_SEC准则'!$E$4:$I$39,5,FALSE)</f>
        <v>QM</v>
      </c>
      <c r="O16" s="2" t="s">
        <v>491</v>
      </c>
      <c r="P16" s="2" t="s">
        <v>453</v>
      </c>
      <c r="Q16" s="12">
        <v>500</v>
      </c>
      <c r="R16" s="2" t="s">
        <v>454</v>
      </c>
      <c r="S16" s="13">
        <f t="shared" si="0"/>
        <v>0</v>
      </c>
      <c r="T16" s="2" t="s">
        <v>455</v>
      </c>
      <c r="U16" s="2" t="s">
        <v>29</v>
      </c>
      <c r="V16" s="2"/>
    </row>
    <row r="17" spans="1:22" ht="63.95" customHeight="1">
      <c r="A17" s="2" t="s">
        <v>503</v>
      </c>
      <c r="B17" s="6" t="s">
        <v>36</v>
      </c>
      <c r="C17" s="2" t="s">
        <v>195</v>
      </c>
      <c r="D17" s="2" t="s">
        <v>486</v>
      </c>
      <c r="E17" s="2" t="s">
        <v>487</v>
      </c>
      <c r="F17" s="2" t="s">
        <v>306</v>
      </c>
      <c r="G17" s="2" t="s">
        <v>504</v>
      </c>
      <c r="H17" s="6" t="s">
        <v>349</v>
      </c>
      <c r="I17" s="2" t="s">
        <v>505</v>
      </c>
      <c r="J17" s="6" t="s">
        <v>288</v>
      </c>
      <c r="K17" s="2" t="s">
        <v>506</v>
      </c>
      <c r="L17" s="6" t="s">
        <v>393</v>
      </c>
      <c r="M17" s="2" t="s">
        <v>507</v>
      </c>
      <c r="N17" s="7" t="str">
        <f>"QM"</f>
        <v>QM</v>
      </c>
      <c r="O17" s="2" t="s">
        <v>491</v>
      </c>
      <c r="P17" s="2" t="s">
        <v>453</v>
      </c>
      <c r="Q17" s="12">
        <v>500</v>
      </c>
      <c r="R17" s="2" t="s">
        <v>454</v>
      </c>
      <c r="S17" s="13">
        <f t="shared" si="0"/>
        <v>0</v>
      </c>
      <c r="T17" s="2" t="s">
        <v>455</v>
      </c>
      <c r="U17" s="2" t="s">
        <v>29</v>
      </c>
      <c r="V17" s="2" t="s">
        <v>508</v>
      </c>
    </row>
    <row r="18" spans="1:22" ht="63.95" customHeight="1">
      <c r="A18" s="2" t="s">
        <v>509</v>
      </c>
      <c r="B18" s="6" t="s">
        <v>36</v>
      </c>
      <c r="C18" s="2" t="s">
        <v>195</v>
      </c>
      <c r="D18" s="2" t="s">
        <v>486</v>
      </c>
      <c r="E18" s="2" t="s">
        <v>487</v>
      </c>
      <c r="F18" s="2" t="s">
        <v>308</v>
      </c>
      <c r="G18" s="2" t="s">
        <v>510</v>
      </c>
      <c r="H18" s="6" t="s">
        <v>364</v>
      </c>
      <c r="I18" s="2" t="s">
        <v>511</v>
      </c>
      <c r="J18" s="6" t="s">
        <v>278</v>
      </c>
      <c r="K18" s="2" t="s">
        <v>474</v>
      </c>
      <c r="L18" s="6" t="s">
        <v>363</v>
      </c>
      <c r="M18" s="2" t="s">
        <v>512</v>
      </c>
      <c r="N18" s="8" t="str">
        <f>VLOOKUP(H18&amp;J18&amp;L18,'06_SEC准则'!$E$4:$I$39,5,FALSE)</f>
        <v>A</v>
      </c>
      <c r="O18" s="2" t="s">
        <v>491</v>
      </c>
      <c r="P18" s="2" t="s">
        <v>453</v>
      </c>
      <c r="Q18" s="12">
        <v>500</v>
      </c>
      <c r="R18" s="2" t="s">
        <v>454</v>
      </c>
      <c r="S18" s="13">
        <f t="shared" si="0"/>
        <v>1</v>
      </c>
      <c r="T18" s="2" t="s">
        <v>455</v>
      </c>
      <c r="U18" s="2" t="s">
        <v>29</v>
      </c>
      <c r="V18" s="2"/>
    </row>
    <row r="19" spans="1:22" ht="63.95" customHeight="1">
      <c r="A19" s="2" t="s">
        <v>513</v>
      </c>
      <c r="B19" s="6" t="s">
        <v>36</v>
      </c>
      <c r="C19" s="2" t="s">
        <v>195</v>
      </c>
      <c r="D19" s="2" t="s">
        <v>486</v>
      </c>
      <c r="E19" s="2" t="s">
        <v>487</v>
      </c>
      <c r="F19" s="2" t="s">
        <v>311</v>
      </c>
      <c r="G19" s="2" t="s">
        <v>514</v>
      </c>
      <c r="H19" s="6" t="s">
        <v>359</v>
      </c>
      <c r="I19" s="2" t="s">
        <v>515</v>
      </c>
      <c r="J19" s="6" t="s">
        <v>305</v>
      </c>
      <c r="K19" s="2" t="s">
        <v>477</v>
      </c>
      <c r="L19" s="6" t="s">
        <v>358</v>
      </c>
      <c r="M19" s="2" t="s">
        <v>451</v>
      </c>
      <c r="N19" s="7" t="str">
        <f>VLOOKUP(H19&amp;J19&amp;L19,'06_SEC准则'!$E$4:$I$39,5,FALSE)</f>
        <v>QM</v>
      </c>
      <c r="O19" s="2" t="s">
        <v>491</v>
      </c>
      <c r="P19" s="2" t="s">
        <v>453</v>
      </c>
      <c r="Q19" s="12">
        <v>500</v>
      </c>
      <c r="R19" s="2" t="s">
        <v>454</v>
      </c>
      <c r="S19" s="13">
        <f t="shared" si="0"/>
        <v>0</v>
      </c>
      <c r="T19" s="2" t="s">
        <v>455</v>
      </c>
      <c r="U19" s="2" t="s">
        <v>29</v>
      </c>
      <c r="V19" s="2"/>
    </row>
    <row r="20" spans="1:22" ht="63.95" customHeight="1">
      <c r="A20" s="2" t="s">
        <v>516</v>
      </c>
      <c r="B20" s="6" t="s">
        <v>36</v>
      </c>
      <c r="C20" s="2" t="s">
        <v>195</v>
      </c>
      <c r="D20" s="2" t="s">
        <v>486</v>
      </c>
      <c r="E20" s="2" t="s">
        <v>487</v>
      </c>
      <c r="F20" s="2" t="s">
        <v>312</v>
      </c>
      <c r="G20" s="2" t="s">
        <v>517</v>
      </c>
      <c r="H20" s="6" t="s">
        <v>353</v>
      </c>
      <c r="I20" s="2" t="s">
        <v>518</v>
      </c>
      <c r="J20" s="6" t="s">
        <v>305</v>
      </c>
      <c r="K20" s="2" t="s">
        <v>481</v>
      </c>
      <c r="L20" s="6" t="s">
        <v>358</v>
      </c>
      <c r="M20" s="2" t="s">
        <v>451</v>
      </c>
      <c r="N20" s="7" t="str">
        <f>VLOOKUP(H20&amp;J20&amp;L20,'06_SEC准则'!$E$4:$I$39,5,FALSE)</f>
        <v>QM</v>
      </c>
      <c r="O20" s="2" t="s">
        <v>491</v>
      </c>
      <c r="P20" s="2" t="s">
        <v>453</v>
      </c>
      <c r="Q20" s="12">
        <v>500</v>
      </c>
      <c r="R20" s="2" t="s">
        <v>454</v>
      </c>
      <c r="S20" s="13">
        <f t="shared" si="0"/>
        <v>0</v>
      </c>
      <c r="T20" s="2" t="s">
        <v>455</v>
      </c>
      <c r="U20" s="2" t="s">
        <v>29</v>
      </c>
      <c r="V20" s="2"/>
    </row>
    <row r="21" spans="1:22" ht="63.95" customHeight="1">
      <c r="A21" s="2" t="s">
        <v>519</v>
      </c>
      <c r="B21" s="6" t="s">
        <v>36</v>
      </c>
      <c r="C21" s="2" t="s">
        <v>195</v>
      </c>
      <c r="D21" s="2" t="s">
        <v>486</v>
      </c>
      <c r="E21" s="2" t="s">
        <v>487</v>
      </c>
      <c r="F21" s="2" t="s">
        <v>313</v>
      </c>
      <c r="G21" s="2" t="s">
        <v>520</v>
      </c>
      <c r="H21" s="6" t="s">
        <v>349</v>
      </c>
      <c r="I21" s="2" t="s">
        <v>505</v>
      </c>
      <c r="J21" s="6" t="s">
        <v>288</v>
      </c>
      <c r="K21" s="2" t="s">
        <v>506</v>
      </c>
      <c r="L21" s="6" t="s">
        <v>393</v>
      </c>
      <c r="M21" s="2" t="s">
        <v>507</v>
      </c>
      <c r="N21" s="7" t="str">
        <f>"QM"</f>
        <v>QM</v>
      </c>
      <c r="O21" s="2" t="s">
        <v>491</v>
      </c>
      <c r="P21" s="2" t="s">
        <v>453</v>
      </c>
      <c r="Q21" s="12">
        <v>500</v>
      </c>
      <c r="R21" s="2" t="s">
        <v>454</v>
      </c>
      <c r="S21" s="13">
        <f t="shared" si="0"/>
        <v>0</v>
      </c>
      <c r="T21" s="2" t="s">
        <v>455</v>
      </c>
      <c r="U21" s="2" t="s">
        <v>29</v>
      </c>
      <c r="V21" s="2" t="s">
        <v>508</v>
      </c>
    </row>
    <row r="22" spans="1:22" ht="63.95" customHeight="1">
      <c r="A22" s="2" t="s">
        <v>521</v>
      </c>
      <c r="B22" s="6" t="s">
        <v>36</v>
      </c>
      <c r="C22" s="2" t="s">
        <v>201</v>
      </c>
      <c r="D22" s="2" t="s">
        <v>522</v>
      </c>
      <c r="E22" s="2" t="s">
        <v>523</v>
      </c>
      <c r="F22" s="2" t="s">
        <v>268</v>
      </c>
      <c r="G22" s="2" t="s">
        <v>524</v>
      </c>
      <c r="H22" s="6" t="s">
        <v>364</v>
      </c>
      <c r="I22" s="2" t="s">
        <v>525</v>
      </c>
      <c r="J22" s="6" t="s">
        <v>305</v>
      </c>
      <c r="K22" s="2" t="s">
        <v>526</v>
      </c>
      <c r="L22" s="6" t="s">
        <v>358</v>
      </c>
      <c r="M22" s="2" t="s">
        <v>451</v>
      </c>
      <c r="N22" s="8" t="str">
        <f>VLOOKUP(H22&amp;J22&amp;L22,'06_SEC准则'!$E$4:$I$39,5,FALSE)</f>
        <v>A</v>
      </c>
      <c r="O22" s="2" t="s">
        <v>527</v>
      </c>
      <c r="P22" s="2" t="s">
        <v>528</v>
      </c>
      <c r="Q22" s="12">
        <v>500</v>
      </c>
      <c r="R22" s="2" t="s">
        <v>454</v>
      </c>
      <c r="S22" s="13">
        <f t="shared" si="0"/>
        <v>1</v>
      </c>
      <c r="T22" s="2" t="s">
        <v>455</v>
      </c>
      <c r="U22" s="2" t="s">
        <v>29</v>
      </c>
      <c r="V22" s="2"/>
    </row>
    <row r="23" spans="1:22" ht="63.95" customHeight="1">
      <c r="A23" s="2" t="s">
        <v>529</v>
      </c>
      <c r="B23" s="6" t="s">
        <v>36</v>
      </c>
      <c r="C23" s="2" t="s">
        <v>201</v>
      </c>
      <c r="D23" s="2" t="s">
        <v>522</v>
      </c>
      <c r="E23" s="2" t="s">
        <v>523</v>
      </c>
      <c r="F23" s="2" t="s">
        <v>280</v>
      </c>
      <c r="G23" s="2" t="s">
        <v>530</v>
      </c>
      <c r="H23" s="6" t="s">
        <v>359</v>
      </c>
      <c r="I23" s="2" t="s">
        <v>531</v>
      </c>
      <c r="J23" s="6" t="s">
        <v>278</v>
      </c>
      <c r="K23" s="2" t="s">
        <v>458</v>
      </c>
      <c r="L23" s="6" t="s">
        <v>358</v>
      </c>
      <c r="M23" s="2" t="s">
        <v>451</v>
      </c>
      <c r="N23" s="7" t="str">
        <f>VLOOKUP(H23&amp;J23&amp;L23,'06_SEC准则'!$E$4:$I$39,5,FALSE)</f>
        <v>QM</v>
      </c>
      <c r="O23" s="2" t="s">
        <v>527</v>
      </c>
      <c r="P23" s="2" t="s">
        <v>528</v>
      </c>
      <c r="Q23" s="12">
        <v>500</v>
      </c>
      <c r="R23" s="2" t="s">
        <v>454</v>
      </c>
      <c r="S23" s="13">
        <f t="shared" si="0"/>
        <v>0</v>
      </c>
      <c r="T23" s="2" t="s">
        <v>455</v>
      </c>
      <c r="U23" s="2" t="s">
        <v>29</v>
      </c>
      <c r="V23" s="2"/>
    </row>
    <row r="24" spans="1:22" ht="63.95" customHeight="1">
      <c r="A24" s="2" t="s">
        <v>532</v>
      </c>
      <c r="B24" s="6" t="s">
        <v>36</v>
      </c>
      <c r="C24" s="2" t="s">
        <v>201</v>
      </c>
      <c r="D24" s="2" t="s">
        <v>522</v>
      </c>
      <c r="E24" s="2" t="s">
        <v>523</v>
      </c>
      <c r="F24" s="2" t="s">
        <v>300</v>
      </c>
      <c r="G24" s="2" t="s">
        <v>533</v>
      </c>
      <c r="H24" s="6" t="s">
        <v>359</v>
      </c>
      <c r="I24" s="2" t="s">
        <v>534</v>
      </c>
      <c r="J24" s="6" t="s">
        <v>302</v>
      </c>
      <c r="K24" s="2" t="s">
        <v>462</v>
      </c>
      <c r="L24" s="6" t="s">
        <v>354</v>
      </c>
      <c r="M24" s="2" t="s">
        <v>498</v>
      </c>
      <c r="N24" s="7" t="str">
        <f>VLOOKUP(H24&amp;J24&amp;L24,'06_SEC准则'!$E$4:$I$39,5,FALSE)</f>
        <v>QM</v>
      </c>
      <c r="O24" s="2" t="s">
        <v>527</v>
      </c>
      <c r="P24" s="2" t="s">
        <v>528</v>
      </c>
      <c r="Q24" s="12">
        <v>500</v>
      </c>
      <c r="R24" s="2" t="s">
        <v>454</v>
      </c>
      <c r="S24" s="13">
        <f t="shared" si="0"/>
        <v>0</v>
      </c>
      <c r="T24" s="2" t="s">
        <v>455</v>
      </c>
      <c r="U24" s="2" t="s">
        <v>29</v>
      </c>
      <c r="V24" s="2"/>
    </row>
    <row r="25" spans="1:22" ht="63.95" customHeight="1">
      <c r="A25" s="2" t="s">
        <v>535</v>
      </c>
      <c r="B25" s="6" t="s">
        <v>36</v>
      </c>
      <c r="C25" s="2" t="s">
        <v>201</v>
      </c>
      <c r="D25" s="2" t="s">
        <v>522</v>
      </c>
      <c r="E25" s="2" t="s">
        <v>523</v>
      </c>
      <c r="F25" s="2" t="s">
        <v>303</v>
      </c>
      <c r="G25" s="2" t="s">
        <v>536</v>
      </c>
      <c r="H25" s="6" t="s">
        <v>353</v>
      </c>
      <c r="I25" s="2" t="s">
        <v>501</v>
      </c>
      <c r="J25" s="6" t="s">
        <v>305</v>
      </c>
      <c r="K25" s="2" t="s">
        <v>467</v>
      </c>
      <c r="L25" s="6" t="s">
        <v>354</v>
      </c>
      <c r="M25" s="2" t="s">
        <v>498</v>
      </c>
      <c r="N25" s="7" t="str">
        <f>VLOOKUP(H25&amp;J25&amp;L25,'06_SEC准则'!$E$4:$I$39,5,FALSE)</f>
        <v>QM</v>
      </c>
      <c r="O25" s="2" t="s">
        <v>527</v>
      </c>
      <c r="P25" s="2" t="s">
        <v>528</v>
      </c>
      <c r="Q25" s="12">
        <v>500</v>
      </c>
      <c r="R25" s="2" t="s">
        <v>454</v>
      </c>
      <c r="S25" s="13">
        <f t="shared" si="0"/>
        <v>0</v>
      </c>
      <c r="T25" s="2" t="s">
        <v>455</v>
      </c>
      <c r="U25" s="2" t="s">
        <v>29</v>
      </c>
      <c r="V25" s="2"/>
    </row>
    <row r="26" spans="1:22" ht="63.95" customHeight="1">
      <c r="A26" s="2" t="s">
        <v>537</v>
      </c>
      <c r="B26" s="6" t="s">
        <v>36</v>
      </c>
      <c r="C26" s="2" t="s">
        <v>201</v>
      </c>
      <c r="D26" s="2" t="s">
        <v>522</v>
      </c>
      <c r="E26" s="2" t="s">
        <v>523</v>
      </c>
      <c r="F26" s="2" t="s">
        <v>306</v>
      </c>
      <c r="G26" s="2" t="s">
        <v>538</v>
      </c>
      <c r="H26" s="6" t="s">
        <v>353</v>
      </c>
      <c r="I26" s="2" t="s">
        <v>501</v>
      </c>
      <c r="J26" s="6" t="s">
        <v>305</v>
      </c>
      <c r="K26" s="2" t="s">
        <v>470</v>
      </c>
      <c r="L26" s="6" t="s">
        <v>354</v>
      </c>
      <c r="M26" s="2" t="s">
        <v>498</v>
      </c>
      <c r="N26" s="7" t="str">
        <f>VLOOKUP(H26&amp;J26&amp;L26,'06_SEC准则'!$E$4:$I$39,5,FALSE)</f>
        <v>QM</v>
      </c>
      <c r="O26" s="2" t="s">
        <v>527</v>
      </c>
      <c r="P26" s="2" t="s">
        <v>528</v>
      </c>
      <c r="Q26" s="12">
        <v>500</v>
      </c>
      <c r="R26" s="2" t="s">
        <v>454</v>
      </c>
      <c r="S26" s="13">
        <f t="shared" si="0"/>
        <v>0</v>
      </c>
      <c r="T26" s="2" t="s">
        <v>455</v>
      </c>
      <c r="U26" s="2" t="s">
        <v>29</v>
      </c>
      <c r="V26" s="2"/>
    </row>
    <row r="27" spans="1:22" ht="63.95" customHeight="1">
      <c r="A27" s="2" t="s">
        <v>539</v>
      </c>
      <c r="B27" s="6" t="s">
        <v>36</v>
      </c>
      <c r="C27" s="2" t="s">
        <v>201</v>
      </c>
      <c r="D27" s="2" t="s">
        <v>522</v>
      </c>
      <c r="E27" s="2" t="s">
        <v>523</v>
      </c>
      <c r="F27" s="2" t="s">
        <v>308</v>
      </c>
      <c r="G27" s="2" t="s">
        <v>540</v>
      </c>
      <c r="H27" s="6" t="s">
        <v>359</v>
      </c>
      <c r="I27" s="2" t="s">
        <v>541</v>
      </c>
      <c r="J27" s="6" t="s">
        <v>278</v>
      </c>
      <c r="K27" s="2" t="s">
        <v>474</v>
      </c>
      <c r="L27" s="6" t="s">
        <v>358</v>
      </c>
      <c r="M27" s="2" t="s">
        <v>451</v>
      </c>
      <c r="N27" s="7" t="str">
        <f>VLOOKUP(H27&amp;J27&amp;L27,'06_SEC准则'!$E$4:$I$39,5,FALSE)</f>
        <v>QM</v>
      </c>
      <c r="O27" s="2" t="s">
        <v>527</v>
      </c>
      <c r="P27" s="2" t="s">
        <v>528</v>
      </c>
      <c r="Q27" s="12">
        <v>500</v>
      </c>
      <c r="R27" s="2" t="s">
        <v>454</v>
      </c>
      <c r="S27" s="13">
        <f t="shared" si="0"/>
        <v>0</v>
      </c>
      <c r="T27" s="2" t="s">
        <v>455</v>
      </c>
      <c r="U27" s="2" t="s">
        <v>29</v>
      </c>
      <c r="V27" s="2"/>
    </row>
    <row r="28" spans="1:22" ht="63.95" customHeight="1">
      <c r="A28" s="2" t="s">
        <v>542</v>
      </c>
      <c r="B28" s="6" t="s">
        <v>36</v>
      </c>
      <c r="C28" s="2" t="s">
        <v>201</v>
      </c>
      <c r="D28" s="2" t="s">
        <v>522</v>
      </c>
      <c r="E28" s="2" t="s">
        <v>523</v>
      </c>
      <c r="F28" s="2" t="s">
        <v>311</v>
      </c>
      <c r="G28" s="2" t="s">
        <v>543</v>
      </c>
      <c r="H28" s="6" t="s">
        <v>353</v>
      </c>
      <c r="I28" s="2" t="s">
        <v>518</v>
      </c>
      <c r="J28" s="6" t="s">
        <v>305</v>
      </c>
      <c r="K28" s="2" t="s">
        <v>477</v>
      </c>
      <c r="L28" s="6" t="s">
        <v>354</v>
      </c>
      <c r="M28" s="2" t="s">
        <v>498</v>
      </c>
      <c r="N28" s="7" t="str">
        <f>VLOOKUP(H28&amp;J28&amp;L28,'06_SEC准则'!$E$4:$I$39,5,FALSE)</f>
        <v>QM</v>
      </c>
      <c r="O28" s="2" t="s">
        <v>527</v>
      </c>
      <c r="P28" s="2" t="s">
        <v>528</v>
      </c>
      <c r="Q28" s="12">
        <v>500</v>
      </c>
      <c r="R28" s="2" t="s">
        <v>454</v>
      </c>
      <c r="S28" s="13">
        <f t="shared" si="0"/>
        <v>0</v>
      </c>
      <c r="T28" s="2" t="s">
        <v>455</v>
      </c>
      <c r="U28" s="2" t="s">
        <v>29</v>
      </c>
      <c r="V28" s="2"/>
    </row>
    <row r="29" spans="1:22" ht="63.95" customHeight="1">
      <c r="A29" s="2" t="s">
        <v>544</v>
      </c>
      <c r="B29" s="6" t="s">
        <v>36</v>
      </c>
      <c r="C29" s="2" t="s">
        <v>201</v>
      </c>
      <c r="D29" s="2" t="s">
        <v>522</v>
      </c>
      <c r="E29" s="2" t="s">
        <v>523</v>
      </c>
      <c r="F29" s="2" t="s">
        <v>312</v>
      </c>
      <c r="G29" s="2" t="s">
        <v>545</v>
      </c>
      <c r="H29" s="6" t="s">
        <v>353</v>
      </c>
      <c r="I29" s="2" t="s">
        <v>518</v>
      </c>
      <c r="J29" s="6" t="s">
        <v>305</v>
      </c>
      <c r="K29" s="2" t="s">
        <v>481</v>
      </c>
      <c r="L29" s="6" t="s">
        <v>354</v>
      </c>
      <c r="M29" s="2" t="s">
        <v>498</v>
      </c>
      <c r="N29" s="7" t="str">
        <f>VLOOKUP(H29&amp;J29&amp;L29,'06_SEC准则'!$E$4:$I$39,5,FALSE)</f>
        <v>QM</v>
      </c>
      <c r="O29" s="2" t="s">
        <v>527</v>
      </c>
      <c r="P29" s="2" t="s">
        <v>528</v>
      </c>
      <c r="Q29" s="12">
        <v>500</v>
      </c>
      <c r="R29" s="2" t="s">
        <v>454</v>
      </c>
      <c r="S29" s="13">
        <f t="shared" si="0"/>
        <v>0</v>
      </c>
      <c r="T29" s="2" t="s">
        <v>455</v>
      </c>
      <c r="U29" s="2" t="s">
        <v>29</v>
      </c>
      <c r="V29" s="2"/>
    </row>
    <row r="30" spans="1:22" ht="63.95" customHeight="1">
      <c r="A30" s="2" t="s">
        <v>546</v>
      </c>
      <c r="B30" s="6" t="s">
        <v>36</v>
      </c>
      <c r="C30" s="2" t="s">
        <v>201</v>
      </c>
      <c r="D30" s="2" t="s">
        <v>522</v>
      </c>
      <c r="E30" s="2" t="s">
        <v>523</v>
      </c>
      <c r="F30" s="2" t="s">
        <v>313</v>
      </c>
      <c r="G30" s="2" t="s">
        <v>547</v>
      </c>
      <c r="H30" s="6" t="s">
        <v>353</v>
      </c>
      <c r="I30" s="2" t="s">
        <v>518</v>
      </c>
      <c r="J30" s="6" t="s">
        <v>278</v>
      </c>
      <c r="K30" s="2" t="s">
        <v>548</v>
      </c>
      <c r="L30" s="6" t="s">
        <v>358</v>
      </c>
      <c r="M30" s="2" t="s">
        <v>451</v>
      </c>
      <c r="N30" s="7" t="str">
        <f>VLOOKUP(H30&amp;J30&amp;L30,'06_SEC准则'!$E$4:$I$39,5,FALSE)</f>
        <v>QM</v>
      </c>
      <c r="O30" s="2" t="s">
        <v>527</v>
      </c>
      <c r="P30" s="2" t="s">
        <v>528</v>
      </c>
      <c r="Q30" s="12">
        <v>500</v>
      </c>
      <c r="R30" s="2" t="s">
        <v>454</v>
      </c>
      <c r="S30" s="13">
        <f t="shared" si="0"/>
        <v>0</v>
      </c>
      <c r="T30" s="2" t="s">
        <v>455</v>
      </c>
      <c r="U30" s="2" t="s">
        <v>29</v>
      </c>
      <c r="V30" s="2"/>
    </row>
    <row r="31" spans="1:22" ht="63.95" customHeight="1">
      <c r="A31" s="2" t="s">
        <v>549</v>
      </c>
      <c r="B31" s="6" t="s">
        <v>36</v>
      </c>
      <c r="C31" s="2" t="s">
        <v>195</v>
      </c>
      <c r="D31" s="2" t="s">
        <v>550</v>
      </c>
      <c r="E31" s="2" t="s">
        <v>551</v>
      </c>
      <c r="F31" s="2" t="s">
        <v>268</v>
      </c>
      <c r="G31" s="2" t="s">
        <v>552</v>
      </c>
      <c r="H31" s="6" t="s">
        <v>364</v>
      </c>
      <c r="I31" s="2" t="s">
        <v>553</v>
      </c>
      <c r="J31" s="6" t="s">
        <v>305</v>
      </c>
      <c r="K31" s="2" t="s">
        <v>526</v>
      </c>
      <c r="L31" s="6" t="s">
        <v>358</v>
      </c>
      <c r="M31" s="2" t="s">
        <v>451</v>
      </c>
      <c r="N31" s="8" t="str">
        <f>VLOOKUP(H31&amp;J31&amp;L31,'06_SEC准则'!$E$4:$I$39,5,FALSE)</f>
        <v>A</v>
      </c>
      <c r="O31" s="2" t="s">
        <v>554</v>
      </c>
      <c r="P31" s="2" t="s">
        <v>555</v>
      </c>
      <c r="Q31" s="12">
        <v>500</v>
      </c>
      <c r="R31" s="2" t="s">
        <v>454</v>
      </c>
      <c r="S31" s="13">
        <f t="shared" si="0"/>
        <v>1</v>
      </c>
      <c r="T31" s="2" t="s">
        <v>455</v>
      </c>
      <c r="U31" s="2" t="s">
        <v>29</v>
      </c>
      <c r="V31" s="2"/>
    </row>
    <row r="32" spans="1:22" ht="63.95" customHeight="1">
      <c r="A32" s="2" t="s">
        <v>556</v>
      </c>
      <c r="B32" s="6" t="s">
        <v>36</v>
      </c>
      <c r="C32" s="2" t="s">
        <v>195</v>
      </c>
      <c r="D32" s="2" t="s">
        <v>550</v>
      </c>
      <c r="E32" s="2" t="s">
        <v>551</v>
      </c>
      <c r="F32" s="2" t="s">
        <v>280</v>
      </c>
      <c r="G32" s="2" t="s">
        <v>557</v>
      </c>
      <c r="H32" s="6" t="s">
        <v>364</v>
      </c>
      <c r="I32" s="2" t="s">
        <v>553</v>
      </c>
      <c r="J32" s="6" t="s">
        <v>305</v>
      </c>
      <c r="K32" s="2" t="s">
        <v>494</v>
      </c>
      <c r="L32" s="6" t="s">
        <v>358</v>
      </c>
      <c r="M32" s="2" t="s">
        <v>451</v>
      </c>
      <c r="N32" s="8" t="str">
        <f>VLOOKUP(H32&amp;J32&amp;L32,'06_SEC准则'!$E$4:$I$39,5,FALSE)</f>
        <v>A</v>
      </c>
      <c r="O32" s="2" t="s">
        <v>554</v>
      </c>
      <c r="P32" s="2" t="s">
        <v>555</v>
      </c>
      <c r="Q32" s="12">
        <v>500</v>
      </c>
      <c r="R32" s="2" t="s">
        <v>454</v>
      </c>
      <c r="S32" s="13">
        <f t="shared" si="0"/>
        <v>1</v>
      </c>
      <c r="T32" s="2" t="s">
        <v>455</v>
      </c>
      <c r="U32" s="2" t="s">
        <v>29</v>
      </c>
      <c r="V32" s="2"/>
    </row>
    <row r="33" spans="1:22" ht="63.95" customHeight="1">
      <c r="A33" s="2" t="s">
        <v>558</v>
      </c>
      <c r="B33" s="6" t="s">
        <v>36</v>
      </c>
      <c r="C33" s="2" t="s">
        <v>195</v>
      </c>
      <c r="D33" s="2" t="s">
        <v>550</v>
      </c>
      <c r="E33" s="2" t="s">
        <v>551</v>
      </c>
      <c r="F33" s="2" t="s">
        <v>300</v>
      </c>
      <c r="G33" s="2" t="s">
        <v>559</v>
      </c>
      <c r="H33" s="6" t="s">
        <v>364</v>
      </c>
      <c r="I33" s="2" t="s">
        <v>560</v>
      </c>
      <c r="J33" s="6" t="s">
        <v>302</v>
      </c>
      <c r="K33" s="2" t="s">
        <v>462</v>
      </c>
      <c r="L33" s="6" t="s">
        <v>354</v>
      </c>
      <c r="M33" s="2" t="s">
        <v>498</v>
      </c>
      <c r="N33" s="8" t="str">
        <f>VLOOKUP(H33&amp;J33&amp;L33,'06_SEC准则'!$E$4:$I$39,5,FALSE)</f>
        <v>A</v>
      </c>
      <c r="O33" s="2" t="s">
        <v>554</v>
      </c>
      <c r="P33" s="2" t="s">
        <v>555</v>
      </c>
      <c r="Q33" s="12">
        <v>500</v>
      </c>
      <c r="R33" s="2" t="s">
        <v>454</v>
      </c>
      <c r="S33" s="13">
        <f t="shared" si="0"/>
        <v>1</v>
      </c>
      <c r="T33" s="2" t="s">
        <v>455</v>
      </c>
      <c r="U33" s="2" t="s">
        <v>29</v>
      </c>
      <c r="V33" s="2"/>
    </row>
    <row r="34" spans="1:22" ht="63.95" customHeight="1">
      <c r="A34" s="2" t="s">
        <v>561</v>
      </c>
      <c r="B34" s="6" t="s">
        <v>36</v>
      </c>
      <c r="C34" s="2" t="s">
        <v>195</v>
      </c>
      <c r="D34" s="2" t="s">
        <v>550</v>
      </c>
      <c r="E34" s="2" t="s">
        <v>551</v>
      </c>
      <c r="F34" s="2" t="s">
        <v>303</v>
      </c>
      <c r="G34" s="2" t="s">
        <v>562</v>
      </c>
      <c r="H34" s="6" t="s">
        <v>359</v>
      </c>
      <c r="I34" s="2" t="s">
        <v>563</v>
      </c>
      <c r="J34" s="6" t="s">
        <v>302</v>
      </c>
      <c r="K34" s="2" t="s">
        <v>502</v>
      </c>
      <c r="L34" s="6" t="s">
        <v>354</v>
      </c>
      <c r="M34" s="2" t="s">
        <v>498</v>
      </c>
      <c r="N34" s="7" t="str">
        <f>VLOOKUP(H34&amp;J34&amp;L34,'06_SEC准则'!$E$4:$I$39,5,FALSE)</f>
        <v>QM</v>
      </c>
      <c r="O34" s="2" t="s">
        <v>554</v>
      </c>
      <c r="P34" s="2" t="s">
        <v>555</v>
      </c>
      <c r="Q34" s="12">
        <v>500</v>
      </c>
      <c r="R34" s="2" t="s">
        <v>454</v>
      </c>
      <c r="S34" s="13">
        <f t="shared" si="0"/>
        <v>0</v>
      </c>
      <c r="T34" s="2" t="s">
        <v>455</v>
      </c>
      <c r="U34" s="2" t="s">
        <v>29</v>
      </c>
      <c r="V34" s="2"/>
    </row>
    <row r="35" spans="1:22" ht="63.95" customHeight="1">
      <c r="A35" s="2" t="s">
        <v>564</v>
      </c>
      <c r="B35" s="6" t="s">
        <v>36</v>
      </c>
      <c r="C35" s="2" t="s">
        <v>195</v>
      </c>
      <c r="D35" s="2" t="s">
        <v>550</v>
      </c>
      <c r="E35" s="2" t="s">
        <v>551</v>
      </c>
      <c r="F35" s="2" t="s">
        <v>306</v>
      </c>
      <c r="G35" s="2" t="s">
        <v>565</v>
      </c>
      <c r="H35" s="6" t="s">
        <v>353</v>
      </c>
      <c r="I35" s="2" t="s">
        <v>501</v>
      </c>
      <c r="J35" s="6" t="s">
        <v>305</v>
      </c>
      <c r="K35" s="2" t="s">
        <v>470</v>
      </c>
      <c r="L35" s="6" t="s">
        <v>354</v>
      </c>
      <c r="M35" s="2" t="s">
        <v>498</v>
      </c>
      <c r="N35" s="7" t="str">
        <f>VLOOKUP(H35&amp;J35&amp;L35,'06_SEC准则'!$E$4:$I$39,5,FALSE)</f>
        <v>QM</v>
      </c>
      <c r="O35" s="2" t="s">
        <v>554</v>
      </c>
      <c r="P35" s="2" t="s">
        <v>555</v>
      </c>
      <c r="Q35" s="12">
        <v>500</v>
      </c>
      <c r="R35" s="2" t="s">
        <v>454</v>
      </c>
      <c r="S35" s="13">
        <f t="shared" si="0"/>
        <v>0</v>
      </c>
      <c r="T35" s="2" t="s">
        <v>455</v>
      </c>
      <c r="U35" s="2" t="s">
        <v>29</v>
      </c>
      <c r="V35" s="2"/>
    </row>
    <row r="36" spans="1:22" ht="63.95" customHeight="1">
      <c r="A36" s="2" t="s">
        <v>566</v>
      </c>
      <c r="B36" s="6" t="s">
        <v>36</v>
      </c>
      <c r="C36" s="2" t="s">
        <v>195</v>
      </c>
      <c r="D36" s="2" t="s">
        <v>550</v>
      </c>
      <c r="E36" s="2" t="s">
        <v>551</v>
      </c>
      <c r="F36" s="2" t="s">
        <v>308</v>
      </c>
      <c r="G36" s="2" t="s">
        <v>567</v>
      </c>
      <c r="H36" s="6" t="s">
        <v>364</v>
      </c>
      <c r="I36" s="2" t="s">
        <v>568</v>
      </c>
      <c r="J36" s="6" t="s">
        <v>305</v>
      </c>
      <c r="K36" s="2" t="s">
        <v>569</v>
      </c>
      <c r="L36" s="6" t="s">
        <v>358</v>
      </c>
      <c r="M36" s="2" t="s">
        <v>451</v>
      </c>
      <c r="N36" s="8" t="str">
        <f>VLOOKUP(H36&amp;J36&amp;L36,'06_SEC准则'!$E$4:$I$39,5,FALSE)</f>
        <v>A</v>
      </c>
      <c r="O36" s="2" t="s">
        <v>554</v>
      </c>
      <c r="P36" s="2" t="s">
        <v>555</v>
      </c>
      <c r="Q36" s="12">
        <v>500</v>
      </c>
      <c r="R36" s="2" t="s">
        <v>454</v>
      </c>
      <c r="S36" s="13">
        <f t="shared" si="0"/>
        <v>1</v>
      </c>
      <c r="T36" s="2" t="s">
        <v>455</v>
      </c>
      <c r="U36" s="2" t="s">
        <v>29</v>
      </c>
      <c r="V36" s="2"/>
    </row>
    <row r="37" spans="1:22" ht="63.95" customHeight="1">
      <c r="A37" s="2" t="s">
        <v>570</v>
      </c>
      <c r="B37" s="6" t="s">
        <v>36</v>
      </c>
      <c r="C37" s="2" t="s">
        <v>195</v>
      </c>
      <c r="D37" s="2" t="s">
        <v>550</v>
      </c>
      <c r="E37" s="2" t="s">
        <v>551</v>
      </c>
      <c r="F37" s="2" t="s">
        <v>311</v>
      </c>
      <c r="G37" s="2" t="s">
        <v>571</v>
      </c>
      <c r="H37" s="6" t="s">
        <v>359</v>
      </c>
      <c r="I37" s="2" t="s">
        <v>572</v>
      </c>
      <c r="J37" s="6" t="s">
        <v>302</v>
      </c>
      <c r="K37" s="2" t="s">
        <v>573</v>
      </c>
      <c r="L37" s="6" t="s">
        <v>358</v>
      </c>
      <c r="M37" s="2" t="s">
        <v>451</v>
      </c>
      <c r="N37" s="8" t="str">
        <f>VLOOKUP(H37&amp;J37&amp;L37,'06_SEC准则'!$E$4:$I$39,5,FALSE)</f>
        <v>A</v>
      </c>
      <c r="O37" s="2" t="s">
        <v>554</v>
      </c>
      <c r="P37" s="2" t="s">
        <v>555</v>
      </c>
      <c r="Q37" s="12">
        <v>500</v>
      </c>
      <c r="R37" s="2" t="s">
        <v>454</v>
      </c>
      <c r="S37" s="13">
        <f t="shared" si="0"/>
        <v>1</v>
      </c>
      <c r="T37" s="2" t="s">
        <v>455</v>
      </c>
      <c r="U37" s="2" t="s">
        <v>29</v>
      </c>
      <c r="V37" s="2"/>
    </row>
    <row r="38" spans="1:22" ht="63.95" customHeight="1">
      <c r="A38" s="2" t="s">
        <v>574</v>
      </c>
      <c r="B38" s="6" t="s">
        <v>36</v>
      </c>
      <c r="C38" s="2" t="s">
        <v>195</v>
      </c>
      <c r="D38" s="2" t="s">
        <v>550</v>
      </c>
      <c r="E38" s="2" t="s">
        <v>551</v>
      </c>
      <c r="F38" s="2" t="s">
        <v>312</v>
      </c>
      <c r="G38" s="2" t="s">
        <v>575</v>
      </c>
      <c r="H38" s="6" t="s">
        <v>353</v>
      </c>
      <c r="I38" s="2" t="s">
        <v>518</v>
      </c>
      <c r="J38" s="6" t="s">
        <v>305</v>
      </c>
      <c r="K38" s="2" t="s">
        <v>481</v>
      </c>
      <c r="L38" s="6" t="s">
        <v>354</v>
      </c>
      <c r="M38" s="2" t="s">
        <v>498</v>
      </c>
      <c r="N38" s="7" t="str">
        <f>VLOOKUP(H38&amp;J38&amp;L38,'06_SEC准则'!$E$4:$I$39,5,FALSE)</f>
        <v>QM</v>
      </c>
      <c r="O38" s="2" t="s">
        <v>554</v>
      </c>
      <c r="P38" s="2" t="s">
        <v>555</v>
      </c>
      <c r="Q38" s="12">
        <v>500</v>
      </c>
      <c r="R38" s="2" t="s">
        <v>454</v>
      </c>
      <c r="S38" s="13">
        <f t="shared" si="0"/>
        <v>0</v>
      </c>
      <c r="T38" s="2" t="s">
        <v>455</v>
      </c>
      <c r="U38" s="2" t="s">
        <v>29</v>
      </c>
      <c r="V38" s="2"/>
    </row>
    <row r="39" spans="1:22" ht="63.95" customHeight="1">
      <c r="A39" s="2" t="s">
        <v>576</v>
      </c>
      <c r="B39" s="6" t="s">
        <v>36</v>
      </c>
      <c r="C39" s="2" t="s">
        <v>195</v>
      </c>
      <c r="D39" s="2" t="s">
        <v>550</v>
      </c>
      <c r="E39" s="2" t="s">
        <v>551</v>
      </c>
      <c r="F39" s="2" t="s">
        <v>313</v>
      </c>
      <c r="G39" s="2" t="s">
        <v>577</v>
      </c>
      <c r="H39" s="6" t="s">
        <v>349</v>
      </c>
      <c r="I39" s="2" t="s">
        <v>505</v>
      </c>
      <c r="J39" s="6" t="s">
        <v>288</v>
      </c>
      <c r="K39" s="2" t="s">
        <v>506</v>
      </c>
      <c r="L39" s="6" t="s">
        <v>393</v>
      </c>
      <c r="M39" s="2" t="s">
        <v>507</v>
      </c>
      <c r="N39" s="7" t="str">
        <f>"QM"</f>
        <v>QM</v>
      </c>
      <c r="O39" s="2" t="s">
        <v>554</v>
      </c>
      <c r="P39" s="2" t="s">
        <v>555</v>
      </c>
      <c r="Q39" s="12">
        <v>500</v>
      </c>
      <c r="R39" s="2" t="s">
        <v>454</v>
      </c>
      <c r="S39" s="13">
        <f t="shared" si="0"/>
        <v>0</v>
      </c>
      <c r="T39" s="2" t="s">
        <v>455</v>
      </c>
      <c r="U39" s="2" t="s">
        <v>29</v>
      </c>
      <c r="V39" s="2" t="s">
        <v>508</v>
      </c>
    </row>
    <row r="40" spans="1:22" ht="63.95" customHeight="1">
      <c r="A40" s="2" t="s">
        <v>578</v>
      </c>
      <c r="B40" s="6" t="s">
        <v>36</v>
      </c>
      <c r="C40" s="2" t="s">
        <v>223</v>
      </c>
      <c r="D40" s="2" t="s">
        <v>579</v>
      </c>
      <c r="E40" s="2" t="s">
        <v>580</v>
      </c>
      <c r="F40" s="2" t="s">
        <v>268</v>
      </c>
      <c r="G40" s="2" t="s">
        <v>581</v>
      </c>
      <c r="H40" s="6" t="s">
        <v>364</v>
      </c>
      <c r="I40" s="2" t="s">
        <v>582</v>
      </c>
      <c r="J40" s="6" t="s">
        <v>305</v>
      </c>
      <c r="K40" s="2" t="s">
        <v>526</v>
      </c>
      <c r="L40" s="6" t="s">
        <v>363</v>
      </c>
      <c r="M40" s="2" t="s">
        <v>583</v>
      </c>
      <c r="N40" s="9" t="str">
        <f>VLOOKUP(H40&amp;J40&amp;L40,'06_SEC准则'!$E$4:$I$39,5,FALSE)</f>
        <v>B</v>
      </c>
      <c r="O40" s="2" t="s">
        <v>584</v>
      </c>
      <c r="P40" s="2" t="s">
        <v>585</v>
      </c>
      <c r="Q40" s="12">
        <v>200</v>
      </c>
      <c r="R40" s="2" t="s">
        <v>454</v>
      </c>
      <c r="S40" s="13">
        <f t="shared" si="0"/>
        <v>2</v>
      </c>
      <c r="T40" s="2" t="s">
        <v>455</v>
      </c>
      <c r="U40" s="2" t="s">
        <v>29</v>
      </c>
      <c r="V40" s="2"/>
    </row>
    <row r="41" spans="1:22" ht="63.95" customHeight="1">
      <c r="A41" s="2" t="s">
        <v>586</v>
      </c>
      <c r="B41" s="6" t="s">
        <v>36</v>
      </c>
      <c r="C41" s="2" t="s">
        <v>223</v>
      </c>
      <c r="D41" s="2" t="s">
        <v>579</v>
      </c>
      <c r="E41" s="2" t="s">
        <v>580</v>
      </c>
      <c r="F41" s="2" t="s">
        <v>280</v>
      </c>
      <c r="G41" s="2" t="s">
        <v>587</v>
      </c>
      <c r="H41" s="6" t="s">
        <v>364</v>
      </c>
      <c r="I41" s="2" t="s">
        <v>582</v>
      </c>
      <c r="J41" s="6" t="s">
        <v>278</v>
      </c>
      <c r="K41" s="2" t="s">
        <v>458</v>
      </c>
      <c r="L41" s="6" t="s">
        <v>363</v>
      </c>
      <c r="M41" s="2" t="s">
        <v>583</v>
      </c>
      <c r="N41" s="8" t="str">
        <f>VLOOKUP(H41&amp;J41&amp;L41,'06_SEC准则'!$E$4:$I$39,5,FALSE)</f>
        <v>A</v>
      </c>
      <c r="O41" s="2" t="s">
        <v>584</v>
      </c>
      <c r="P41" s="2" t="s">
        <v>585</v>
      </c>
      <c r="Q41" s="12">
        <v>200</v>
      </c>
      <c r="R41" s="2" t="s">
        <v>454</v>
      </c>
      <c r="S41" s="13">
        <f t="shared" si="0"/>
        <v>1</v>
      </c>
      <c r="T41" s="2" t="s">
        <v>455</v>
      </c>
      <c r="U41" s="2" t="s">
        <v>29</v>
      </c>
      <c r="V41" s="2"/>
    </row>
    <row r="42" spans="1:22" ht="63.95" customHeight="1">
      <c r="A42" s="2" t="s">
        <v>588</v>
      </c>
      <c r="B42" s="6" t="s">
        <v>36</v>
      </c>
      <c r="C42" s="2" t="s">
        <v>223</v>
      </c>
      <c r="D42" s="2" t="s">
        <v>579</v>
      </c>
      <c r="E42" s="2" t="s">
        <v>580</v>
      </c>
      <c r="F42" s="2" t="s">
        <v>300</v>
      </c>
      <c r="G42" s="2" t="s">
        <v>589</v>
      </c>
      <c r="H42" s="6" t="s">
        <v>359</v>
      </c>
      <c r="I42" s="2" t="s">
        <v>590</v>
      </c>
      <c r="J42" s="6" t="s">
        <v>302</v>
      </c>
      <c r="K42" s="2" t="s">
        <v>462</v>
      </c>
      <c r="L42" s="6" t="s">
        <v>363</v>
      </c>
      <c r="M42" s="2" t="s">
        <v>583</v>
      </c>
      <c r="N42" s="9" t="str">
        <f>VLOOKUP(H42&amp;J42&amp;L42,'06_SEC准则'!$E$4:$I$39,5,FALSE)</f>
        <v>B</v>
      </c>
      <c r="O42" s="2" t="s">
        <v>584</v>
      </c>
      <c r="P42" s="2" t="s">
        <v>585</v>
      </c>
      <c r="Q42" s="12">
        <v>200</v>
      </c>
      <c r="R42" s="2" t="s">
        <v>454</v>
      </c>
      <c r="S42" s="13">
        <f t="shared" si="0"/>
        <v>2</v>
      </c>
      <c r="T42" s="2" t="s">
        <v>455</v>
      </c>
      <c r="U42" s="2" t="s">
        <v>29</v>
      </c>
      <c r="V42" s="2"/>
    </row>
    <row r="43" spans="1:22" ht="63.95" customHeight="1">
      <c r="A43" s="2" t="s">
        <v>591</v>
      </c>
      <c r="B43" s="6" t="s">
        <v>36</v>
      </c>
      <c r="C43" s="2" t="s">
        <v>223</v>
      </c>
      <c r="D43" s="2" t="s">
        <v>579</v>
      </c>
      <c r="E43" s="2" t="s">
        <v>580</v>
      </c>
      <c r="F43" s="2" t="s">
        <v>303</v>
      </c>
      <c r="G43" s="2" t="s">
        <v>592</v>
      </c>
      <c r="H43" s="6" t="s">
        <v>359</v>
      </c>
      <c r="I43" s="2" t="s">
        <v>590</v>
      </c>
      <c r="J43" s="6" t="s">
        <v>305</v>
      </c>
      <c r="K43" s="2" t="s">
        <v>467</v>
      </c>
      <c r="L43" s="6" t="s">
        <v>363</v>
      </c>
      <c r="M43" s="2" t="s">
        <v>583</v>
      </c>
      <c r="N43" s="8" t="str">
        <f>VLOOKUP(H43&amp;J43&amp;L43,'06_SEC准则'!$E$4:$I$39,5,FALSE)</f>
        <v>A</v>
      </c>
      <c r="O43" s="2" t="s">
        <v>584</v>
      </c>
      <c r="P43" s="2" t="s">
        <v>585</v>
      </c>
      <c r="Q43" s="12">
        <v>200</v>
      </c>
      <c r="R43" s="2" t="s">
        <v>454</v>
      </c>
      <c r="S43" s="13">
        <f t="shared" si="0"/>
        <v>1</v>
      </c>
      <c r="T43" s="2" t="s">
        <v>455</v>
      </c>
      <c r="U43" s="2" t="s">
        <v>29</v>
      </c>
      <c r="V43" s="2"/>
    </row>
    <row r="44" spans="1:22" ht="63.95" customHeight="1">
      <c r="A44" s="2" t="s">
        <v>593</v>
      </c>
      <c r="B44" s="6" t="s">
        <v>36</v>
      </c>
      <c r="C44" s="2" t="s">
        <v>223</v>
      </c>
      <c r="D44" s="2" t="s">
        <v>579</v>
      </c>
      <c r="E44" s="2" t="s">
        <v>580</v>
      </c>
      <c r="F44" s="2" t="s">
        <v>306</v>
      </c>
      <c r="G44" s="2" t="s">
        <v>594</v>
      </c>
      <c r="H44" s="6" t="s">
        <v>359</v>
      </c>
      <c r="I44" s="2" t="s">
        <v>590</v>
      </c>
      <c r="J44" s="6" t="s">
        <v>302</v>
      </c>
      <c r="K44" s="2" t="s">
        <v>595</v>
      </c>
      <c r="L44" s="6" t="s">
        <v>363</v>
      </c>
      <c r="M44" s="2" t="s">
        <v>583</v>
      </c>
      <c r="N44" s="9" t="str">
        <f>VLOOKUP(H44&amp;J44&amp;L44,'06_SEC准则'!$E$4:$I$39,5,FALSE)</f>
        <v>B</v>
      </c>
      <c r="O44" s="2" t="s">
        <v>584</v>
      </c>
      <c r="P44" s="2" t="s">
        <v>585</v>
      </c>
      <c r="Q44" s="12">
        <v>200</v>
      </c>
      <c r="R44" s="2" t="s">
        <v>454</v>
      </c>
      <c r="S44" s="13">
        <f t="shared" si="0"/>
        <v>2</v>
      </c>
      <c r="T44" s="2" t="s">
        <v>455</v>
      </c>
      <c r="U44" s="2" t="s">
        <v>29</v>
      </c>
      <c r="V44" s="2"/>
    </row>
    <row r="45" spans="1:22" ht="63.95" customHeight="1">
      <c r="A45" s="2" t="s">
        <v>596</v>
      </c>
      <c r="B45" s="6" t="s">
        <v>36</v>
      </c>
      <c r="C45" s="2" t="s">
        <v>223</v>
      </c>
      <c r="D45" s="2" t="s">
        <v>579</v>
      </c>
      <c r="E45" s="2" t="s">
        <v>580</v>
      </c>
      <c r="F45" s="2" t="s">
        <v>308</v>
      </c>
      <c r="G45" s="2" t="s">
        <v>597</v>
      </c>
      <c r="H45" s="6" t="s">
        <v>364</v>
      </c>
      <c r="I45" s="2" t="s">
        <v>598</v>
      </c>
      <c r="J45" s="6" t="s">
        <v>278</v>
      </c>
      <c r="K45" s="2" t="s">
        <v>474</v>
      </c>
      <c r="L45" s="6" t="s">
        <v>363</v>
      </c>
      <c r="M45" s="2" t="s">
        <v>583</v>
      </c>
      <c r="N45" s="8" t="str">
        <f>VLOOKUP(H45&amp;J45&amp;L45,'06_SEC准则'!$E$4:$I$39,5,FALSE)</f>
        <v>A</v>
      </c>
      <c r="O45" s="2" t="s">
        <v>584</v>
      </c>
      <c r="P45" s="2" t="s">
        <v>585</v>
      </c>
      <c r="Q45" s="12">
        <v>200</v>
      </c>
      <c r="R45" s="2" t="s">
        <v>454</v>
      </c>
      <c r="S45" s="13">
        <f t="shared" si="0"/>
        <v>1</v>
      </c>
      <c r="T45" s="2" t="s">
        <v>455</v>
      </c>
      <c r="U45" s="2" t="s">
        <v>29</v>
      </c>
      <c r="V45" s="2"/>
    </row>
    <row r="46" spans="1:22" ht="63.95" customHeight="1">
      <c r="A46" s="2" t="s">
        <v>599</v>
      </c>
      <c r="B46" s="6" t="s">
        <v>36</v>
      </c>
      <c r="C46" s="2" t="s">
        <v>223</v>
      </c>
      <c r="D46" s="2" t="s">
        <v>579</v>
      </c>
      <c r="E46" s="2" t="s">
        <v>580</v>
      </c>
      <c r="F46" s="2" t="s">
        <v>311</v>
      </c>
      <c r="G46" s="2" t="s">
        <v>600</v>
      </c>
      <c r="H46" s="6" t="s">
        <v>364</v>
      </c>
      <c r="I46" s="2" t="s">
        <v>598</v>
      </c>
      <c r="J46" s="6" t="s">
        <v>305</v>
      </c>
      <c r="K46" s="2" t="s">
        <v>477</v>
      </c>
      <c r="L46" s="6" t="s">
        <v>363</v>
      </c>
      <c r="M46" s="2" t="s">
        <v>583</v>
      </c>
      <c r="N46" s="9" t="str">
        <f>VLOOKUP(H46&amp;J46&amp;L46,'06_SEC准则'!$E$4:$I$39,5,FALSE)</f>
        <v>B</v>
      </c>
      <c r="O46" s="2" t="s">
        <v>584</v>
      </c>
      <c r="P46" s="2" t="s">
        <v>585</v>
      </c>
      <c r="Q46" s="12">
        <v>200</v>
      </c>
      <c r="R46" s="2" t="s">
        <v>454</v>
      </c>
      <c r="S46" s="13">
        <f t="shared" si="0"/>
        <v>2</v>
      </c>
      <c r="T46" s="2" t="s">
        <v>455</v>
      </c>
      <c r="U46" s="2" t="s">
        <v>29</v>
      </c>
      <c r="V46" s="2"/>
    </row>
    <row r="47" spans="1:22" ht="63.95" customHeight="1">
      <c r="A47" s="2" t="s">
        <v>601</v>
      </c>
      <c r="B47" s="6" t="s">
        <v>36</v>
      </c>
      <c r="C47" s="2" t="s">
        <v>223</v>
      </c>
      <c r="D47" s="2" t="s">
        <v>579</v>
      </c>
      <c r="E47" s="2" t="s">
        <v>580</v>
      </c>
      <c r="F47" s="2" t="s">
        <v>312</v>
      </c>
      <c r="G47" s="2" t="s">
        <v>602</v>
      </c>
      <c r="H47" s="6" t="s">
        <v>359</v>
      </c>
      <c r="I47" s="2" t="s">
        <v>603</v>
      </c>
      <c r="J47" s="6" t="s">
        <v>305</v>
      </c>
      <c r="K47" s="2" t="s">
        <v>481</v>
      </c>
      <c r="L47" s="6" t="s">
        <v>363</v>
      </c>
      <c r="M47" s="2" t="s">
        <v>583</v>
      </c>
      <c r="N47" s="8" t="str">
        <f>VLOOKUP(H47&amp;J47&amp;L47,'06_SEC准则'!$E$4:$I$39,5,FALSE)</f>
        <v>A</v>
      </c>
      <c r="O47" s="2" t="s">
        <v>584</v>
      </c>
      <c r="P47" s="2" t="s">
        <v>585</v>
      </c>
      <c r="Q47" s="12">
        <v>200</v>
      </c>
      <c r="R47" s="2" t="s">
        <v>454</v>
      </c>
      <c r="S47" s="13">
        <f t="shared" si="0"/>
        <v>1</v>
      </c>
      <c r="T47" s="2" t="s">
        <v>455</v>
      </c>
      <c r="U47" s="2" t="s">
        <v>29</v>
      </c>
      <c r="V47" s="2"/>
    </row>
    <row r="48" spans="1:22" ht="63.95" customHeight="1">
      <c r="A48" s="2" t="s">
        <v>604</v>
      </c>
      <c r="B48" s="6" t="s">
        <v>36</v>
      </c>
      <c r="C48" s="2" t="s">
        <v>223</v>
      </c>
      <c r="D48" s="2" t="s">
        <v>579</v>
      </c>
      <c r="E48" s="2" t="s">
        <v>580</v>
      </c>
      <c r="F48" s="2" t="s">
        <v>313</v>
      </c>
      <c r="G48" s="2" t="s">
        <v>605</v>
      </c>
      <c r="H48" s="6" t="s">
        <v>364</v>
      </c>
      <c r="I48" s="2" t="s">
        <v>598</v>
      </c>
      <c r="J48" s="6" t="s">
        <v>305</v>
      </c>
      <c r="K48" s="2" t="s">
        <v>484</v>
      </c>
      <c r="L48" s="6" t="s">
        <v>363</v>
      </c>
      <c r="M48" s="2" t="s">
        <v>583</v>
      </c>
      <c r="N48" s="9" t="str">
        <f>VLOOKUP(H48&amp;J48&amp;L48,'06_SEC准则'!$E$4:$I$39,5,FALSE)</f>
        <v>B</v>
      </c>
      <c r="O48" s="2" t="s">
        <v>584</v>
      </c>
      <c r="P48" s="2" t="s">
        <v>585</v>
      </c>
      <c r="Q48" s="12">
        <v>200</v>
      </c>
      <c r="R48" s="2" t="s">
        <v>454</v>
      </c>
      <c r="S48" s="13">
        <f t="shared" si="0"/>
        <v>2</v>
      </c>
      <c r="T48" s="2" t="s">
        <v>455</v>
      </c>
      <c r="U48" s="2" t="s">
        <v>29</v>
      </c>
      <c r="V48" s="2"/>
    </row>
  </sheetData>
  <mergeCells count="2">
    <mergeCell ref="A1:V1"/>
    <mergeCell ref="A2:V2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9"/>
  <sheetViews>
    <sheetView showGridLines="0" topLeftCell="F1" workbookViewId="0">
      <selection activeCell="K12" sqref="K12"/>
    </sheetView>
  </sheetViews>
  <sheetFormatPr defaultRowHeight="14.25"/>
  <cols>
    <col min="1" max="1" width="14" customWidth="1"/>
    <col min="2" max="2" width="36" customWidth="1"/>
    <col min="3" max="4" width="14" customWidth="1"/>
    <col min="5" max="6" width="12" customWidth="1"/>
    <col min="7" max="7" width="14" customWidth="1"/>
    <col min="8" max="8" width="52" customWidth="1"/>
    <col min="9" max="9" width="12" customWidth="1"/>
    <col min="10" max="10" width="36" customWidth="1"/>
    <col min="11" max="11" width="42" customWidth="1"/>
    <col min="12" max="13" width="14" customWidth="1"/>
    <col min="14" max="14" width="34" customWidth="1"/>
  </cols>
  <sheetData>
    <row r="1" spans="1:14" ht="30" customHeight="1">
      <c r="A1" s="14" t="s">
        <v>606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32.1" customHeight="1">
      <c r="A2" s="15" t="s">
        <v>607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ht="32.1" customHeight="1">
      <c r="A3" s="1" t="s">
        <v>438</v>
      </c>
      <c r="B3" s="1" t="s">
        <v>608</v>
      </c>
      <c r="C3" s="1" t="s">
        <v>609</v>
      </c>
      <c r="D3" s="1" t="s">
        <v>610</v>
      </c>
      <c r="E3" s="1" t="s">
        <v>437</v>
      </c>
      <c r="F3" s="1" t="s">
        <v>611</v>
      </c>
      <c r="G3" s="1" t="s">
        <v>612</v>
      </c>
      <c r="H3" s="1" t="s">
        <v>439</v>
      </c>
      <c r="I3" s="1" t="s">
        <v>440</v>
      </c>
      <c r="J3" s="1" t="s">
        <v>613</v>
      </c>
      <c r="K3" s="1" t="s">
        <v>614</v>
      </c>
      <c r="L3" s="1" t="s">
        <v>14</v>
      </c>
      <c r="M3" s="20" t="s">
        <v>729</v>
      </c>
      <c r="N3" s="1" t="s">
        <v>186</v>
      </c>
    </row>
    <row r="4" spans="1:14" ht="60" customHeight="1">
      <c r="A4" s="2" t="s">
        <v>452</v>
      </c>
      <c r="B4" s="2" t="s">
        <v>615</v>
      </c>
      <c r="C4" s="2" t="s">
        <v>447</v>
      </c>
      <c r="D4" s="13" t="e">
        <f ca="1">_xludf.MAXIFS('04_危害事件'!$S$4:$S$48,'04_危害事件'!$O$4:$O$48,A4)</f>
        <v>#NAME?</v>
      </c>
      <c r="E4" s="10" t="e">
        <f t="shared" ref="E4:E9" ca="1" si="0">CHOOSE(D4+1,"QM","A","B","C","D")</f>
        <v>#NAME?</v>
      </c>
      <c r="F4" s="6" t="s">
        <v>347</v>
      </c>
      <c r="G4" s="4" t="e">
        <f t="shared" ref="G4:G9" ca="1" si="1">IF(E4=F4,"一致","需复核")</f>
        <v>#NAME?</v>
      </c>
      <c r="H4" s="2" t="s">
        <v>616</v>
      </c>
      <c r="I4" s="12">
        <v>100</v>
      </c>
      <c r="J4" s="2" t="s">
        <v>617</v>
      </c>
      <c r="K4" s="2" t="s">
        <v>618</v>
      </c>
      <c r="L4" s="6" t="s">
        <v>36</v>
      </c>
      <c r="M4" s="6" t="s">
        <v>725</v>
      </c>
      <c r="N4" s="2"/>
    </row>
    <row r="5" spans="1:14" ht="60" customHeight="1">
      <c r="A5" s="2" t="s">
        <v>491</v>
      </c>
      <c r="B5" s="2" t="s">
        <v>619</v>
      </c>
      <c r="C5" s="2" t="s">
        <v>487</v>
      </c>
      <c r="D5" s="13" t="e">
        <f ca="1">_xludf.MAXIFS('04_危害事件'!$S$4:$S$48,'04_危害事件'!$O$4:$O$48,A5)</f>
        <v>#NAME?</v>
      </c>
      <c r="E5" s="8" t="e">
        <f t="shared" ca="1" si="0"/>
        <v>#NAME?</v>
      </c>
      <c r="F5" s="6" t="s">
        <v>378</v>
      </c>
      <c r="G5" s="4" t="e">
        <f t="shared" ca="1" si="1"/>
        <v>#NAME?</v>
      </c>
      <c r="H5" s="2" t="s">
        <v>616</v>
      </c>
      <c r="I5" s="12">
        <v>500</v>
      </c>
      <c r="J5" s="2" t="s">
        <v>617</v>
      </c>
      <c r="K5" s="2" t="s">
        <v>618</v>
      </c>
      <c r="L5" s="6" t="s">
        <v>36</v>
      </c>
      <c r="M5" s="6" t="s">
        <v>725</v>
      </c>
      <c r="N5" s="2"/>
    </row>
    <row r="6" spans="1:14" ht="60" customHeight="1">
      <c r="A6" s="2" t="s">
        <v>527</v>
      </c>
      <c r="B6" s="2" t="s">
        <v>620</v>
      </c>
      <c r="C6" s="2" t="s">
        <v>523</v>
      </c>
      <c r="D6" s="13" t="e">
        <f ca="1">_xludf.MAXIFS('04_危害事件'!$S$4:$S$48,'04_危害事件'!$O$4:$O$48,A6)</f>
        <v>#NAME?</v>
      </c>
      <c r="E6" s="8" t="e">
        <f t="shared" ca="1" si="0"/>
        <v>#NAME?</v>
      </c>
      <c r="F6" s="6" t="s">
        <v>378</v>
      </c>
      <c r="G6" s="4" t="e">
        <f t="shared" ca="1" si="1"/>
        <v>#NAME?</v>
      </c>
      <c r="H6" s="2" t="s">
        <v>621</v>
      </c>
      <c r="I6" s="12">
        <v>500</v>
      </c>
      <c r="J6" s="2" t="s">
        <v>622</v>
      </c>
      <c r="K6" s="2" t="s">
        <v>623</v>
      </c>
      <c r="L6" s="6" t="s">
        <v>36</v>
      </c>
      <c r="M6" s="6" t="s">
        <v>725</v>
      </c>
      <c r="N6" s="2" t="s">
        <v>624</v>
      </c>
    </row>
    <row r="7" spans="1:14" ht="60" customHeight="1">
      <c r="A7" s="2" t="s">
        <v>554</v>
      </c>
      <c r="B7" s="2" t="s">
        <v>625</v>
      </c>
      <c r="C7" s="2" t="s">
        <v>551</v>
      </c>
      <c r="D7" s="13" t="e">
        <f ca="1">_xludf.MAXIFS('04_危害事件'!$S$4:$S$48,'04_危害事件'!$O$4:$O$48,A7)</f>
        <v>#NAME?</v>
      </c>
      <c r="E7" s="8" t="e">
        <f t="shared" ca="1" si="0"/>
        <v>#NAME?</v>
      </c>
      <c r="F7" s="6" t="s">
        <v>378</v>
      </c>
      <c r="G7" s="4" t="e">
        <f t="shared" ca="1" si="1"/>
        <v>#NAME?</v>
      </c>
      <c r="H7" s="2" t="s">
        <v>626</v>
      </c>
      <c r="I7" s="12">
        <v>500</v>
      </c>
      <c r="J7" s="2" t="s">
        <v>627</v>
      </c>
      <c r="K7" s="2" t="s">
        <v>628</v>
      </c>
      <c r="L7" s="6" t="s">
        <v>36</v>
      </c>
      <c r="M7" s="6" t="s">
        <v>725</v>
      </c>
      <c r="N7" s="2" t="s">
        <v>624</v>
      </c>
    </row>
    <row r="8" spans="1:14" ht="60" customHeight="1">
      <c r="A8" s="2" t="s">
        <v>584</v>
      </c>
      <c r="B8" s="2" t="s">
        <v>629</v>
      </c>
      <c r="C8" s="2" t="s">
        <v>580</v>
      </c>
      <c r="D8" s="13" t="e">
        <f ca="1">_xludf.MAXIFS('04_危害事件'!$S$4:$S$48,'04_危害事件'!$O$4:$O$48,A8)</f>
        <v>#NAME?</v>
      </c>
      <c r="E8" s="9" t="e">
        <f t="shared" ca="1" si="0"/>
        <v>#NAME?</v>
      </c>
      <c r="F8" s="6" t="s">
        <v>327</v>
      </c>
      <c r="G8" s="4" t="e">
        <f t="shared" ca="1" si="1"/>
        <v>#NAME?</v>
      </c>
      <c r="H8" s="2" t="s">
        <v>630</v>
      </c>
      <c r="I8" s="12">
        <v>200</v>
      </c>
      <c r="J8" s="2" t="s">
        <v>631</v>
      </c>
      <c r="K8" s="2" t="s">
        <v>632</v>
      </c>
      <c r="L8" s="6" t="s">
        <v>36</v>
      </c>
      <c r="M8" s="6" t="s">
        <v>725</v>
      </c>
      <c r="N8" s="2"/>
    </row>
    <row r="9" spans="1:14" ht="60" customHeight="1">
      <c r="A9" s="2" t="s">
        <v>633</v>
      </c>
      <c r="B9" s="2" t="s">
        <v>634</v>
      </c>
      <c r="C9" s="2" t="s">
        <v>635</v>
      </c>
      <c r="D9" s="13" t="e">
        <f ca="1">MAX(D4:D8)</f>
        <v>#NAME?</v>
      </c>
      <c r="E9" s="10" t="e">
        <f t="shared" ca="1" si="0"/>
        <v>#NAME?</v>
      </c>
      <c r="F9" s="6" t="s">
        <v>347</v>
      </c>
      <c r="G9" s="4" t="e">
        <f t="shared" ca="1" si="1"/>
        <v>#NAME?</v>
      </c>
      <c r="H9" s="2" t="s">
        <v>636</v>
      </c>
      <c r="I9" s="12">
        <v>100</v>
      </c>
      <c r="J9" s="2" t="s">
        <v>617</v>
      </c>
      <c r="K9" s="2" t="s">
        <v>637</v>
      </c>
      <c r="L9" s="6" t="s">
        <v>36</v>
      </c>
      <c r="M9" s="6" t="s">
        <v>725</v>
      </c>
      <c r="N9" s="2" t="s">
        <v>638</v>
      </c>
    </row>
  </sheetData>
  <mergeCells count="2">
    <mergeCell ref="A1:N1"/>
    <mergeCell ref="A2:N2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9"/>
  <sheetViews>
    <sheetView showGridLines="0" workbookViewId="0">
      <selection sqref="A1:J1"/>
    </sheetView>
  </sheetViews>
  <sheetFormatPr defaultRowHeight="14.25"/>
  <cols>
    <col min="1" max="1" width="13" customWidth="1"/>
    <col min="2" max="2" width="26" customWidth="1"/>
    <col min="3" max="3" width="34" customWidth="1"/>
    <col min="4" max="4" width="14" customWidth="1"/>
    <col min="5" max="5" width="24" customWidth="1"/>
    <col min="6" max="6" width="22" customWidth="1"/>
    <col min="7" max="7" width="12" customWidth="1"/>
    <col min="8" max="8" width="44" customWidth="1"/>
    <col min="9" max="9" width="30" customWidth="1"/>
    <col min="10" max="10" width="14" customWidth="1"/>
  </cols>
  <sheetData>
    <row r="1" spans="1:10" ht="30" customHeight="1">
      <c r="A1" s="14" t="s">
        <v>639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32.1" customHeight="1">
      <c r="A2" s="15" t="s">
        <v>640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32.1" customHeight="1">
      <c r="A3" s="1" t="s">
        <v>641</v>
      </c>
      <c r="B3" s="1" t="s">
        <v>125</v>
      </c>
      <c r="C3" s="1" t="s">
        <v>430</v>
      </c>
      <c r="D3" s="1" t="s">
        <v>431</v>
      </c>
      <c r="E3" s="1" t="s">
        <v>642</v>
      </c>
      <c r="F3" s="1" t="s">
        <v>438</v>
      </c>
      <c r="G3" s="1" t="s">
        <v>348</v>
      </c>
      <c r="H3" s="1" t="s">
        <v>643</v>
      </c>
      <c r="I3" s="1" t="s">
        <v>644</v>
      </c>
      <c r="J3" s="1" t="s">
        <v>14</v>
      </c>
    </row>
    <row r="4" spans="1:10" ht="57.95" customHeight="1">
      <c r="A4" s="2" t="s">
        <v>645</v>
      </c>
      <c r="B4" s="2" t="s">
        <v>188</v>
      </c>
      <c r="C4" s="2" t="s">
        <v>446</v>
      </c>
      <c r="D4" s="2" t="s">
        <v>447</v>
      </c>
      <c r="E4" s="2" t="s">
        <v>646</v>
      </c>
      <c r="F4" s="2" t="s">
        <v>452</v>
      </c>
      <c r="G4" s="2" t="s">
        <v>347</v>
      </c>
      <c r="H4" s="2" t="s">
        <v>647</v>
      </c>
      <c r="I4" s="2" t="s">
        <v>648</v>
      </c>
      <c r="J4" s="6" t="s">
        <v>36</v>
      </c>
    </row>
    <row r="5" spans="1:10" ht="57.95" customHeight="1">
      <c r="A5" s="2" t="s">
        <v>649</v>
      </c>
      <c r="B5" s="2" t="s">
        <v>195</v>
      </c>
      <c r="C5" s="2" t="s">
        <v>486</v>
      </c>
      <c r="D5" s="2" t="s">
        <v>487</v>
      </c>
      <c r="E5" s="2" t="s">
        <v>650</v>
      </c>
      <c r="F5" s="2" t="s">
        <v>491</v>
      </c>
      <c r="G5" s="2" t="s">
        <v>378</v>
      </c>
      <c r="H5" s="2" t="s">
        <v>647</v>
      </c>
      <c r="I5" s="2" t="s">
        <v>651</v>
      </c>
      <c r="J5" s="6" t="s">
        <v>36</v>
      </c>
    </row>
    <row r="6" spans="1:10" ht="57.95" customHeight="1">
      <c r="A6" s="2" t="s">
        <v>652</v>
      </c>
      <c r="B6" s="2" t="s">
        <v>201</v>
      </c>
      <c r="C6" s="2" t="s">
        <v>522</v>
      </c>
      <c r="D6" s="2" t="s">
        <v>523</v>
      </c>
      <c r="E6" s="2" t="s">
        <v>653</v>
      </c>
      <c r="F6" s="2" t="s">
        <v>527</v>
      </c>
      <c r="G6" s="2" t="s">
        <v>378</v>
      </c>
      <c r="H6" s="2" t="s">
        <v>654</v>
      </c>
      <c r="I6" s="2" t="s">
        <v>651</v>
      </c>
      <c r="J6" s="6" t="s">
        <v>36</v>
      </c>
    </row>
    <row r="7" spans="1:10" ht="57.95" customHeight="1">
      <c r="A7" s="2" t="s">
        <v>655</v>
      </c>
      <c r="B7" s="2" t="s">
        <v>195</v>
      </c>
      <c r="C7" s="2" t="s">
        <v>550</v>
      </c>
      <c r="D7" s="2" t="s">
        <v>551</v>
      </c>
      <c r="E7" s="2" t="s">
        <v>656</v>
      </c>
      <c r="F7" s="2" t="s">
        <v>554</v>
      </c>
      <c r="G7" s="2" t="s">
        <v>378</v>
      </c>
      <c r="H7" s="2" t="s">
        <v>657</v>
      </c>
      <c r="I7" s="2" t="s">
        <v>658</v>
      </c>
      <c r="J7" s="6" t="s">
        <v>36</v>
      </c>
    </row>
    <row r="8" spans="1:10" ht="57.95" customHeight="1">
      <c r="A8" s="2" t="s">
        <v>659</v>
      </c>
      <c r="B8" s="2" t="s">
        <v>223</v>
      </c>
      <c r="C8" s="2" t="s">
        <v>579</v>
      </c>
      <c r="D8" s="2" t="s">
        <v>580</v>
      </c>
      <c r="E8" s="2" t="s">
        <v>660</v>
      </c>
      <c r="F8" s="2" t="s">
        <v>584</v>
      </c>
      <c r="G8" s="2" t="s">
        <v>327</v>
      </c>
      <c r="H8" s="2" t="s">
        <v>661</v>
      </c>
      <c r="I8" s="2" t="s">
        <v>648</v>
      </c>
      <c r="J8" s="6" t="s">
        <v>36</v>
      </c>
    </row>
    <row r="9" spans="1:10" ht="57.95" customHeight="1">
      <c r="A9" s="2" t="s">
        <v>662</v>
      </c>
      <c r="B9" s="2" t="s">
        <v>663</v>
      </c>
      <c r="C9" s="2" t="s">
        <v>238</v>
      </c>
      <c r="D9" s="2" t="s">
        <v>635</v>
      </c>
      <c r="E9" s="2" t="s">
        <v>664</v>
      </c>
      <c r="F9" s="2" t="s">
        <v>633</v>
      </c>
      <c r="G9" s="2" t="s">
        <v>347</v>
      </c>
      <c r="H9" s="2" t="s">
        <v>665</v>
      </c>
      <c r="I9" s="2" t="s">
        <v>666</v>
      </c>
      <c r="J9" s="6" t="s">
        <v>36</v>
      </c>
    </row>
  </sheetData>
  <mergeCells count="2">
    <mergeCell ref="A1:J1"/>
    <mergeCell ref="A2:J2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1"/>
  <sheetViews>
    <sheetView showGridLines="0" topLeftCell="C2" workbookViewId="0">
      <selection activeCell="H4" sqref="H4:I11"/>
    </sheetView>
  </sheetViews>
  <sheetFormatPr defaultRowHeight="14.25"/>
  <cols>
    <col min="1" max="1" width="13" customWidth="1"/>
    <col min="2" max="2" width="18" customWidth="1"/>
    <col min="3" max="3" width="52" customWidth="1"/>
    <col min="4" max="4" width="24" customWidth="1"/>
    <col min="5" max="5" width="48" customWidth="1"/>
    <col min="6" max="7" width="14" customWidth="1"/>
    <col min="8" max="8" width="15" customWidth="1"/>
    <col min="9" max="9" width="30" customWidth="1"/>
    <col min="10" max="10" width="28" customWidth="1"/>
  </cols>
  <sheetData>
    <row r="1" spans="1:10" ht="30" customHeight="1">
      <c r="A1" s="14" t="s">
        <v>667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32.1" customHeight="1">
      <c r="A2" s="15" t="s">
        <v>668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32.1" customHeight="1">
      <c r="A3" s="1" t="s">
        <v>669</v>
      </c>
      <c r="B3" s="1" t="s">
        <v>56</v>
      </c>
      <c r="C3" s="1" t="s">
        <v>670</v>
      </c>
      <c r="D3" s="1" t="s">
        <v>671</v>
      </c>
      <c r="E3" s="1" t="s">
        <v>672</v>
      </c>
      <c r="F3" s="1" t="s">
        <v>673</v>
      </c>
      <c r="G3" s="1" t="s">
        <v>14</v>
      </c>
      <c r="H3" s="1" t="s">
        <v>674</v>
      </c>
      <c r="I3" s="1" t="s">
        <v>675</v>
      </c>
      <c r="J3" s="1" t="s">
        <v>186</v>
      </c>
    </row>
    <row r="4" spans="1:10" ht="57.95" customHeight="1">
      <c r="A4" s="2" t="s">
        <v>676</v>
      </c>
      <c r="B4" s="2" t="s">
        <v>677</v>
      </c>
      <c r="C4" s="2" t="s">
        <v>678</v>
      </c>
      <c r="D4" s="2" t="s">
        <v>633</v>
      </c>
      <c r="E4" s="2" t="s">
        <v>679</v>
      </c>
      <c r="F4" s="6" t="s">
        <v>725</v>
      </c>
      <c r="G4" s="6" t="s">
        <v>680</v>
      </c>
      <c r="H4" s="6"/>
      <c r="I4" s="6"/>
      <c r="J4" s="2"/>
    </row>
    <row r="5" spans="1:10" ht="57.95" customHeight="1">
      <c r="A5" s="2" t="s">
        <v>681</v>
      </c>
      <c r="B5" s="2" t="s">
        <v>682</v>
      </c>
      <c r="C5" s="2" t="s">
        <v>683</v>
      </c>
      <c r="D5" s="2" t="s">
        <v>684</v>
      </c>
      <c r="E5" s="2" t="s">
        <v>685</v>
      </c>
      <c r="F5" s="6" t="s">
        <v>725</v>
      </c>
      <c r="G5" s="6" t="s">
        <v>680</v>
      </c>
      <c r="H5" s="6"/>
      <c r="I5" s="6"/>
      <c r="J5" s="2"/>
    </row>
    <row r="6" spans="1:10" ht="57.95" customHeight="1">
      <c r="A6" s="2" t="s">
        <v>686</v>
      </c>
      <c r="B6" s="2" t="s">
        <v>687</v>
      </c>
      <c r="C6" s="2" t="s">
        <v>688</v>
      </c>
      <c r="D6" s="2" t="s">
        <v>689</v>
      </c>
      <c r="E6" s="2" t="s">
        <v>690</v>
      </c>
      <c r="F6" s="6" t="s">
        <v>725</v>
      </c>
      <c r="G6" s="6" t="s">
        <v>680</v>
      </c>
      <c r="H6" s="6"/>
      <c r="I6" s="6"/>
      <c r="J6" s="2"/>
    </row>
    <row r="7" spans="1:10" ht="57.95" customHeight="1">
      <c r="A7" s="2" t="s">
        <v>691</v>
      </c>
      <c r="B7" s="2" t="s">
        <v>692</v>
      </c>
      <c r="C7" s="2" t="s">
        <v>693</v>
      </c>
      <c r="D7" s="2" t="s">
        <v>694</v>
      </c>
      <c r="E7" s="2" t="s">
        <v>695</v>
      </c>
      <c r="F7" s="6" t="s">
        <v>725</v>
      </c>
      <c r="G7" s="6" t="s">
        <v>680</v>
      </c>
      <c r="H7" s="6"/>
      <c r="I7" s="6"/>
      <c r="J7" s="2"/>
    </row>
    <row r="8" spans="1:10" ht="57.95" customHeight="1">
      <c r="A8" s="2" t="s">
        <v>696</v>
      </c>
      <c r="B8" s="2" t="s">
        <v>697</v>
      </c>
      <c r="C8" s="2" t="s">
        <v>698</v>
      </c>
      <c r="D8" s="2" t="s">
        <v>699</v>
      </c>
      <c r="E8" s="2" t="s">
        <v>700</v>
      </c>
      <c r="F8" s="6" t="s">
        <v>725</v>
      </c>
      <c r="G8" s="6" t="s">
        <v>680</v>
      </c>
      <c r="H8" s="6"/>
      <c r="I8" s="6"/>
      <c r="J8" s="2"/>
    </row>
    <row r="9" spans="1:10" ht="57.95" customHeight="1">
      <c r="A9" s="2" t="s">
        <v>701</v>
      </c>
      <c r="B9" s="2" t="s">
        <v>439</v>
      </c>
      <c r="C9" s="2" t="s">
        <v>702</v>
      </c>
      <c r="D9" s="2" t="s">
        <v>694</v>
      </c>
      <c r="E9" s="2" t="s">
        <v>703</v>
      </c>
      <c r="F9" s="6" t="s">
        <v>725</v>
      </c>
      <c r="G9" s="6" t="s">
        <v>680</v>
      </c>
      <c r="H9" s="6"/>
      <c r="I9" s="6"/>
      <c r="J9" s="2"/>
    </row>
    <row r="10" spans="1:10" ht="57.95" customHeight="1">
      <c r="A10" s="2" t="s">
        <v>704</v>
      </c>
      <c r="B10" s="2" t="s">
        <v>705</v>
      </c>
      <c r="C10" s="2" t="s">
        <v>706</v>
      </c>
      <c r="D10" s="2" t="s">
        <v>707</v>
      </c>
      <c r="E10" s="2" t="s">
        <v>708</v>
      </c>
      <c r="F10" s="6" t="s">
        <v>725</v>
      </c>
      <c r="G10" s="6" t="s">
        <v>680</v>
      </c>
      <c r="H10" s="6"/>
      <c r="I10" s="6"/>
      <c r="J10" s="2"/>
    </row>
    <row r="11" spans="1:10" ht="57.95" customHeight="1">
      <c r="A11" s="2" t="s">
        <v>709</v>
      </c>
      <c r="B11" s="2" t="s">
        <v>710</v>
      </c>
      <c r="C11" s="2" t="s">
        <v>711</v>
      </c>
      <c r="D11" s="2" t="s">
        <v>712</v>
      </c>
      <c r="E11" s="2" t="s">
        <v>713</v>
      </c>
      <c r="F11" s="6" t="s">
        <v>725</v>
      </c>
      <c r="G11" s="6" t="s">
        <v>680</v>
      </c>
      <c r="H11" s="6"/>
      <c r="I11" s="6"/>
      <c r="J11" s="2"/>
    </row>
  </sheetData>
  <mergeCells count="2">
    <mergeCell ref="A1:J1"/>
    <mergeCell ref="A2:J2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"/>
  <sheetViews>
    <sheetView showGridLines="0" workbookViewId="0">
      <selection activeCell="H4" sqref="H4"/>
    </sheetView>
  </sheetViews>
  <sheetFormatPr defaultRowHeight="14.25"/>
  <cols>
    <col min="1" max="1" width="10" customWidth="1"/>
    <col min="2" max="2" width="14" customWidth="1"/>
    <col min="3" max="3" width="18" customWidth="1"/>
    <col min="4" max="4" width="60" customWidth="1"/>
    <col min="5" max="5" width="24" customWidth="1"/>
    <col min="6" max="6" width="48" customWidth="1"/>
    <col min="7" max="7" width="14" customWidth="1"/>
    <col min="8" max="8" width="18" customWidth="1"/>
    <col min="9" max="9" width="14" customWidth="1"/>
  </cols>
  <sheetData>
    <row r="1" spans="1:9" ht="30" customHeight="1">
      <c r="A1" s="14" t="s">
        <v>714</v>
      </c>
      <c r="B1" s="14"/>
      <c r="C1" s="14"/>
      <c r="D1" s="14"/>
      <c r="E1" s="14"/>
      <c r="F1" s="14"/>
      <c r="G1" s="14"/>
      <c r="H1" s="14"/>
      <c r="I1" s="14"/>
    </row>
    <row r="2" spans="1:9" ht="32.1" customHeight="1">
      <c r="A2" s="15" t="s">
        <v>715</v>
      </c>
      <c r="B2" s="15"/>
      <c r="C2" s="15"/>
      <c r="D2" s="15"/>
      <c r="E2" s="15"/>
      <c r="F2" s="15"/>
      <c r="G2" s="15"/>
      <c r="H2" s="15"/>
      <c r="I2" s="15"/>
    </row>
    <row r="3" spans="1:9" ht="32.1" customHeight="1">
      <c r="A3" s="1" t="s">
        <v>11</v>
      </c>
      <c r="B3" s="1" t="s">
        <v>34</v>
      </c>
      <c r="C3" s="1" t="s">
        <v>716</v>
      </c>
      <c r="D3" s="1" t="s">
        <v>717</v>
      </c>
      <c r="E3" s="1" t="s">
        <v>671</v>
      </c>
      <c r="F3" s="1" t="s">
        <v>718</v>
      </c>
      <c r="G3" s="1" t="s">
        <v>719</v>
      </c>
      <c r="H3" s="1" t="s">
        <v>720</v>
      </c>
      <c r="I3" s="1" t="s">
        <v>14</v>
      </c>
    </row>
    <row r="4" spans="1:9" ht="63.95" customHeight="1">
      <c r="A4" s="2" t="s">
        <v>12</v>
      </c>
      <c r="B4" s="2" t="s">
        <v>26</v>
      </c>
      <c r="C4" s="2" t="s">
        <v>721</v>
      </c>
      <c r="D4" s="2" t="s">
        <v>722</v>
      </c>
      <c r="E4" s="2" t="s">
        <v>723</v>
      </c>
      <c r="F4" s="2" t="s">
        <v>724</v>
      </c>
      <c r="G4" s="6" t="s">
        <v>725</v>
      </c>
      <c r="H4" s="6" t="s">
        <v>726</v>
      </c>
      <c r="I4" s="6" t="s">
        <v>36</v>
      </c>
    </row>
  </sheetData>
  <mergeCells count="2">
    <mergeCell ref="A1:I1"/>
    <mergeCell ref="A2:I2"/>
  </mergeCells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00_文档信息</vt:lpstr>
      <vt:lpstr>01_Item范围</vt:lpstr>
      <vt:lpstr>02_功能与异常</vt:lpstr>
      <vt:lpstr>03_运行场景</vt:lpstr>
      <vt:lpstr>06_SEC准则</vt:lpstr>
      <vt:lpstr>04_危害事件</vt:lpstr>
      <vt:lpstr>05_安全目标</vt:lpstr>
      <vt:lpstr>07_追踪矩阵</vt:lpstr>
      <vt:lpstr>08_开放问题</vt:lpstr>
      <vt:lpstr>09_变更记录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zhaonan wu</cp:lastModifiedBy>
  <dcterms:modified xsi:type="dcterms:W3CDTF">2026-08-06T07:25:09Z</dcterms:modified>
</cp:coreProperties>
</file>